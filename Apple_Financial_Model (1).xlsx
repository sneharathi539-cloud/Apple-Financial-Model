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500" activeTab="1"/>
  </bookViews>
  <sheets>
    <sheet name="Cover" sheetId="1" r:id="rId1"/>
    <sheet name="Assumptions" sheetId="2" r:id="rId2"/>
    <sheet name="Income Statement" sheetId="3" r:id="rId3"/>
    <sheet name="Balance Sheet" sheetId="4" r:id="rId4"/>
    <sheet name="Cash Flow Statement" sheetId="5" r:id="rId5"/>
    <sheet name="Financial Ratios" sheetId="6" r:id="rId6"/>
    <sheet name="DCF Valuation" sheetId="7" r:id="rId7"/>
    <sheet name="Scenario Analysis" sheetId="8" r:id="rId8"/>
    <sheet name="Dashboard" sheetId="9" r:id="rId9"/>
    <sheet name="Insight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<sst xmlns="http://schemas.openxmlformats.org/spreadsheetml/2006/main" count="798" uniqueCount="553">
  <si>
    <t>APPLE INC. (AAPL)</t>
  </si>
  <si>
    <t>Financial Modeling &amp; Valuation Analysis</t>
  </si>
  <si>
    <t>FY2020 – FY2024 Historical  |  FY2025E – FY2029E Forecast  |  DCF Valuation</t>
  </si>
  <si>
    <t>Ticker</t>
  </si>
  <si>
    <t>AAPL</t>
  </si>
  <si>
    <t>Exchange</t>
  </si>
  <si>
    <t>NASDAQ</t>
  </si>
  <si>
    <t>Sector</t>
  </si>
  <si>
    <t>Technology</t>
  </si>
  <si>
    <t>Currency</t>
  </si>
  <si>
    <t>USD ($ millions)</t>
  </si>
  <si>
    <t>Fiscal Year End</t>
  </si>
  <si>
    <t>September 30</t>
  </si>
  <si>
    <t>Model Date</t>
  </si>
  <si>
    <t>March 2025</t>
  </si>
  <si>
    <t>Analyst</t>
  </si>
  <si>
    <t>Financial Analyst</t>
  </si>
  <si>
    <t>MODEL CONTENTS</t>
  </si>
  <si>
    <t>Sheet 1</t>
  </si>
  <si>
    <t>Income Statement</t>
  </si>
  <si>
    <t>Historical P&amp;L + 5-year forecast</t>
  </si>
  <si>
    <t>Sheet 2</t>
  </si>
  <si>
    <t>Balance Sheet</t>
  </si>
  <si>
    <t>Assets, Liabilities &amp; Equity</t>
  </si>
  <si>
    <t>Sheet 3</t>
  </si>
  <si>
    <t>Cash Flow Statement</t>
  </si>
  <si>
    <t>Operating, Investing &amp; Financing</t>
  </si>
  <si>
    <t>Sheet 4</t>
  </si>
  <si>
    <t>Financial Ratios</t>
  </si>
  <si>
    <t>Key performance metrics</t>
  </si>
  <si>
    <t>Sheet 5</t>
  </si>
  <si>
    <t>Assumptions</t>
  </si>
  <si>
    <t>All model drivers &amp; inputs</t>
  </si>
  <si>
    <t>Sheet 6</t>
  </si>
  <si>
    <t>DCF Valuation</t>
  </si>
  <si>
    <t>Discounted Cash Flow model</t>
  </si>
  <si>
    <t>Sheet 7</t>
  </si>
  <si>
    <t>Scenario Analysis</t>
  </si>
  <si>
    <t>Bull / Base / Bear cases</t>
  </si>
  <si>
    <t>Sheet 8</t>
  </si>
  <si>
    <t>Dashboard</t>
  </si>
  <si>
    <t>Visual summary &amp; charts</t>
  </si>
  <si>
    <t>Sheet 9</t>
  </si>
  <si>
    <t>Insights</t>
  </si>
  <si>
    <t>Commentary &amp; recommendations</t>
  </si>
  <si>
    <t>DISCLAIMER: This financial model is for educational purposes only. All data sourced from Apple Inc. public filings (10-K), SEC EDGAR, and publicly available financial databases. Forecasts represent analyst estimates and are subject to change. Not investment advice.</t>
  </si>
  <si>
    <t>APPLE INC. — MODEL ASSUMPTIONS</t>
  </si>
  <si>
    <t>All blue cells are inputs. Yellow-highlighted cells require attention.</t>
  </si>
  <si>
    <t>Assumption / Driver</t>
  </si>
  <si>
    <t>FY2025E</t>
  </si>
  <si>
    <t>FY2026E</t>
  </si>
  <si>
    <t>FY2027E</t>
  </si>
  <si>
    <t>FY2028E</t>
  </si>
  <si>
    <t>FY2029E</t>
  </si>
  <si>
    <t>Notes</t>
  </si>
  <si>
    <t>REVENUE ASSUMPTIONS</t>
  </si>
  <si>
    <t>Products Revenue Growth %</t>
  </si>
  <si>
    <t>Services Revenue Growth %</t>
  </si>
  <si>
    <t>Blended Revenue Growth %</t>
  </si>
  <si>
    <t>MARGIN ASSUMPTIONS</t>
  </si>
  <si>
    <t>Gross Margin %</t>
  </si>
  <si>
    <t>R&amp;D as % of Revenue</t>
  </si>
  <si>
    <t>SG&amp;A as % of Revenue</t>
  </si>
  <si>
    <t>EBIT Margin %</t>
  </si>
  <si>
    <t>Tax Rate %</t>
  </si>
  <si>
    <t>Net Margin %</t>
  </si>
  <si>
    <t>WORKING CAPITAL &amp; CAPEX ASSUMPTIONS</t>
  </si>
  <si>
    <t>Days Sales Outstanding (DSO)</t>
  </si>
  <si>
    <t>Days Inventory Outstanding (DIO)</t>
  </si>
  <si>
    <t>Days Payable Outstanding (DPO)</t>
  </si>
  <si>
    <t>CapEx as % of Revenue</t>
  </si>
  <si>
    <t>Depreciation as % of Revenue</t>
  </si>
  <si>
    <t>DCF VALUATION ASSUMPTIONS</t>
  </si>
  <si>
    <t>Risk-Free Rate (10Y UST)</t>
  </si>
  <si>
    <t>Source: US Treasury, March 2025</t>
  </si>
  <si>
    <t>Equity Risk Premium</t>
  </si>
  <si>
    <t>Source: Damodaran, Jan 2025 Technology ERP</t>
  </si>
  <si>
    <t>Beta (Levered)</t>
  </si>
  <si>
    <t>Source: Bloomberg 5Y monthly beta vs S&amp;P 500</t>
  </si>
  <si>
    <t>Cost of Equity (CAPM)</t>
  </si>
  <si>
    <t>Pre-Tax Cost of Debt</t>
  </si>
  <si>
    <t>Apple weighted avg coupon on outstanding debt</t>
  </si>
  <si>
    <t>Tax Rate (for WACC)</t>
  </si>
  <si>
    <t>After-Tax Cost of Debt</t>
  </si>
  <si>
    <t>Weight of Equity</t>
  </si>
  <si>
    <t>Weight of Debt</t>
  </si>
  <si>
    <t>WACC</t>
  </si>
  <si>
    <t>Terminal Growth Rate</t>
  </si>
  <si>
    <t>Conservative; consistent with long-run nominal GDP</t>
  </si>
  <si>
    <t>Net Debt / (Cash) ($mm)</t>
  </si>
  <si>
    <t>Source: Apple 10-K FY2024, cash net of total debt</t>
  </si>
  <si>
    <t>Shares Outstanding (mm)</t>
  </si>
  <si>
    <t>Source: Apple 10-K FY2024 diluted shares</t>
  </si>
  <si>
    <t>APPLE INC. — INCOME STATEMENT ($ millions)</t>
  </si>
  <si>
    <t>Source: Apple Inc. 10-K Annual Reports | Forecasts: Model Assumptions</t>
  </si>
  <si>
    <t>◄─────────────── ACTUAL ───────────────►</t>
  </si>
  <si>
    <t>◄──────────────── FORECAST ────────────────►</t>
  </si>
  <si>
    <t>($mm unless stated)</t>
  </si>
  <si>
    <t>FY2020</t>
  </si>
  <si>
    <t>FY2021</t>
  </si>
  <si>
    <t>FY2022</t>
  </si>
  <si>
    <t>FY2023</t>
  </si>
  <si>
    <t>FY2024</t>
  </si>
  <si>
    <t>REVENUE</t>
  </si>
  <si>
    <t xml:space="preserve">  Products Revenue</t>
  </si>
  <si>
    <t xml:space="preserve">  Services Revenue</t>
  </si>
  <si>
    <t>Total Revenue</t>
  </si>
  <si>
    <t>COST OF GOODS SOLD</t>
  </si>
  <si>
    <t xml:space="preserve">  Cost of Goods Sold</t>
  </si>
  <si>
    <t>Gross Profit</t>
  </si>
  <si>
    <t xml:space="preserve">  Gross Margin %</t>
  </si>
  <si>
    <t>OPERATING EXPENSES</t>
  </si>
  <si>
    <t xml:space="preserve">  R&amp;D Expense</t>
  </si>
  <si>
    <t xml:space="preserve">  SG&amp;A Expense</t>
  </si>
  <si>
    <t>Total Operating Expenses</t>
  </si>
  <si>
    <t>EBIT (Operating Income)</t>
  </si>
  <si>
    <t xml:space="preserve">  EBIT Margin %</t>
  </si>
  <si>
    <t xml:space="preserve">  D&amp;A</t>
  </si>
  <si>
    <t>EBITDA</t>
  </si>
  <si>
    <t xml:space="preserve">  EBITDA Margin %</t>
  </si>
  <si>
    <t xml:space="preserve">  Interest &amp; Other</t>
  </si>
  <si>
    <t>EBT (Pre-Tax Income)</t>
  </si>
  <si>
    <t xml:space="preserve">  Tax Expense</t>
  </si>
  <si>
    <t>Net Income</t>
  </si>
  <si>
    <t xml:space="preserve">  Net Margin %</t>
  </si>
  <si>
    <t xml:space="preserve">  Revenue YoY Growth %</t>
  </si>
  <si>
    <t>-</t>
  </si>
  <si>
    <t>APPLE INC. — BALANCE SHEET ($ millions)</t>
  </si>
  <si>
    <t>($mm)</t>
  </si>
  <si>
    <t>ASSETS</t>
  </si>
  <si>
    <t>Current Assets</t>
  </si>
  <si>
    <t xml:space="preserve">  Cash &amp; Equivalents</t>
  </si>
  <si>
    <t xml:space="preserve">  Marketable Securities (ST)</t>
  </si>
  <si>
    <t xml:space="preserve">  Accounts Receivable</t>
  </si>
  <si>
    <t xml:space="preserve">  Inventories</t>
  </si>
  <si>
    <t xml:space="preserve">  Other Current Assets</t>
  </si>
  <si>
    <t>Total Current Assets</t>
  </si>
  <si>
    <t>Non-Current Assets</t>
  </si>
  <si>
    <t xml:space="preserve">  PP&amp;E Net</t>
  </si>
  <si>
    <t xml:space="preserve">  Marketable Securities (LT)</t>
  </si>
  <si>
    <t xml:space="preserve">  Other Non-Current Assets</t>
  </si>
  <si>
    <t>Total Assets</t>
  </si>
  <si>
    <t>LIABILITIES</t>
  </si>
  <si>
    <t>Current Liabilities</t>
  </si>
  <si>
    <t xml:space="preserve">  Accounts Payable</t>
  </si>
  <si>
    <t xml:space="preserve">  Other Current Liab.</t>
  </si>
  <si>
    <t>Total Current Liabilities</t>
  </si>
  <si>
    <t>Non-Current Liabilities</t>
  </si>
  <si>
    <t xml:space="preserve">  Long-Term Debt</t>
  </si>
  <si>
    <t xml:space="preserve">  Other Non-Current Liab.</t>
  </si>
  <si>
    <t>Total Liabilities</t>
  </si>
  <si>
    <t>SHAREHOLDERS' EQUITY</t>
  </si>
  <si>
    <t xml:space="preserve">  Common Stock &amp; APIC</t>
  </si>
  <si>
    <t xml:space="preserve">  Retained Earnings</t>
  </si>
  <si>
    <t xml:space="preserve">  AOCI</t>
  </si>
  <si>
    <t>Total Equity</t>
  </si>
  <si>
    <t xml:space="preserve">  CHECK: Assets = Liab + Equity</t>
  </si>
  <si>
    <t>APPLE INC. — CASH FLOW STATEMENT ($ millions)</t>
  </si>
  <si>
    <t>OPERATING ACTIVITIES</t>
  </si>
  <si>
    <t xml:space="preserve">  Net Income</t>
  </si>
  <si>
    <t xml:space="preserve">  (+) D&amp;A</t>
  </si>
  <si>
    <t xml:space="preserve">  (+) Stock-Based Comp.</t>
  </si>
  <si>
    <t xml:space="preserve">  (+/-) Changes in Working Cap.</t>
  </si>
  <si>
    <t xml:space="preserve">  Other Operating</t>
  </si>
  <si>
    <t>Operating Cash Flow</t>
  </si>
  <si>
    <t>INVESTING ACTIVITIES</t>
  </si>
  <si>
    <t xml:space="preserve">  Capital Expenditures</t>
  </si>
  <si>
    <t xml:space="preserve">  Purchases of Securities</t>
  </si>
  <si>
    <t xml:space="preserve">  Proceeds from Securities</t>
  </si>
  <si>
    <t xml:space="preserve">  Other Investing</t>
  </si>
  <si>
    <t>Investing Cash Flow</t>
  </si>
  <si>
    <t>FINANCING ACTIVITIES</t>
  </si>
  <si>
    <t xml:space="preserve">  Dividends Paid</t>
  </si>
  <si>
    <t xml:space="preserve">  Share Repurchases</t>
  </si>
  <si>
    <t xml:space="preserve">  Debt Issuance/(Repayment)</t>
  </si>
  <si>
    <t xml:space="preserve">  Other Financing</t>
  </si>
  <si>
    <t>Financing Cash Flow</t>
  </si>
  <si>
    <t>FREE CASH FLOW</t>
  </si>
  <si>
    <t xml:space="preserve">  FCF Margin %</t>
  </si>
  <si>
    <t>APPLE INC. — FINANCIAL RATIOS &amp; KPIs</t>
  </si>
  <si>
    <t>Key Performance Metrics</t>
  </si>
  <si>
    <t>PROFITABILITY METRICS</t>
  </si>
  <si>
    <t xml:space="preserve">  Revenue ($mm)</t>
  </si>
  <si>
    <t>274,515</t>
  </si>
  <si>
    <t>365,817</t>
  </si>
  <si>
    <t>394,328</t>
  </si>
  <si>
    <t>383,285</t>
  </si>
  <si>
    <t>391,035</t>
  </si>
  <si>
    <t>→ See Forecast</t>
  </si>
  <si>
    <t xml:space="preserve">  Revenue Growth %</t>
  </si>
  <si>
    <t>—</t>
  </si>
  <si>
    <t>33.3%</t>
  </si>
  <si>
    <t>7.8%</t>
  </si>
  <si>
    <t>(2.8%)</t>
  </si>
  <si>
    <t>2.0%</t>
  </si>
  <si>
    <t xml:space="preserve">  Gross Profit ($mm)</t>
  </si>
  <si>
    <t>104,956</t>
  </si>
  <si>
    <t>152,836</t>
  </si>
  <si>
    <t>170,782</t>
  </si>
  <si>
    <t>169,148</t>
  </si>
  <si>
    <t>180,683</t>
  </si>
  <si>
    <t>38.2%</t>
  </si>
  <si>
    <t>41.8%</t>
  </si>
  <si>
    <t>43.3%</t>
  </si>
  <si>
    <t>44.1%</t>
  </si>
  <si>
    <t>46.2%</t>
  </si>
  <si>
    <t xml:space="preserve">  EBIT ($mm)</t>
  </si>
  <si>
    <t>66,288</t>
  </si>
  <si>
    <t>108,949</t>
  </si>
  <si>
    <t>119,437</t>
  </si>
  <si>
    <t>114,301</t>
  </si>
  <si>
    <t>123,216</t>
  </si>
  <si>
    <t>24.1%</t>
  </si>
  <si>
    <t>29.8%</t>
  </si>
  <si>
    <t>30.3%</t>
  </si>
  <si>
    <t>31.5%</t>
  </si>
  <si>
    <t xml:space="preserve">  EBITDA ($mm)</t>
  </si>
  <si>
    <t>77,344</t>
  </si>
  <si>
    <t>120,233</t>
  </si>
  <si>
    <t>130,541</t>
  </si>
  <si>
    <t>125,820</t>
  </si>
  <si>
    <t>134,661</t>
  </si>
  <si>
    <t>28.2%</t>
  </si>
  <si>
    <t>32.9%</t>
  </si>
  <si>
    <t>33.1%</t>
  </si>
  <si>
    <t>32.8%</t>
  </si>
  <si>
    <t>34.4%</t>
  </si>
  <si>
    <t xml:space="preserve">  Net Income ($mm)</t>
  </si>
  <si>
    <t>57,411</t>
  </si>
  <si>
    <t>94,680</t>
  </si>
  <si>
    <t>99,803</t>
  </si>
  <si>
    <t>96,995</t>
  </si>
  <si>
    <t>93,736</t>
  </si>
  <si>
    <t xml:space="preserve">  Net Profit Margin %</t>
  </si>
  <si>
    <t>20.9%</t>
  </si>
  <si>
    <t>25.9%</t>
  </si>
  <si>
    <t>25.3%</t>
  </si>
  <si>
    <t>24.0%</t>
  </si>
  <si>
    <t>RETURN METRICS</t>
  </si>
  <si>
    <t xml:space="preserve">  Return on Equity (ROE)</t>
  </si>
  <si>
    <t>87.9%</t>
  </si>
  <si>
    <t>150.1%</t>
  </si>
  <si>
    <t>197.0%</t>
  </si>
  <si>
    <t>156.1%</t>
  </si>
  <si>
    <t>164.6%</t>
  </si>
  <si>
    <t xml:space="preserve">  Return on Assets (ROA)</t>
  </si>
  <si>
    <t>17.7%</t>
  </si>
  <si>
    <t>27.0%</t>
  </si>
  <si>
    <t>28.3%</t>
  </si>
  <si>
    <t>27.5%</t>
  </si>
  <si>
    <t>25.7%</t>
  </si>
  <si>
    <t xml:space="preserve">  Return on Invested Capital (ROIC)</t>
  </si>
  <si>
    <t>N/A</t>
  </si>
  <si>
    <t>LEVERAGE &amp; LIQUIDITY</t>
  </si>
  <si>
    <t xml:space="preserve">  Total Debt ($mm)</t>
  </si>
  <si>
    <t>98,667</t>
  </si>
  <si>
    <t>109,106</t>
  </si>
  <si>
    <t>98,959</t>
  </si>
  <si>
    <t>95,281</t>
  </si>
  <si>
    <t>85,750</t>
  </si>
  <si>
    <t xml:space="preserve">  Net Debt / (Cash) ($mm)</t>
  </si>
  <si>
    <t>7,724</t>
  </si>
  <si>
    <t>46,467</t>
  </si>
  <si>
    <t>50,655</t>
  </si>
  <si>
    <t>33,726</t>
  </si>
  <si>
    <t>20,579</t>
  </si>
  <si>
    <t xml:space="preserve">  Debt-to-Equity Ratio</t>
  </si>
  <si>
    <t>3.96x</t>
  </si>
  <si>
    <t>4.56x</t>
  </si>
  <si>
    <t>5.96x</t>
  </si>
  <si>
    <t>4.67x</t>
  </si>
  <si>
    <t>5.41x</t>
  </si>
  <si>
    <t xml:space="preserve">  Debt-to-EBITDA</t>
  </si>
  <si>
    <t>1.3x</t>
  </si>
  <si>
    <t>0.9x</t>
  </si>
  <si>
    <t>0.8x</t>
  </si>
  <si>
    <t>0.6x</t>
  </si>
  <si>
    <t xml:space="preserve">  Interest Coverage (x)</t>
  </si>
  <si>
    <t>CASH FLOW METRICS</t>
  </si>
  <si>
    <t xml:space="preserve">  Operating Cash Flow ($mm)</t>
  </si>
  <si>
    <t>80,674</t>
  </si>
  <si>
    <t>104,038</t>
  </si>
  <si>
    <t>122,151</t>
  </si>
  <si>
    <t>110,543</t>
  </si>
  <si>
    <t>118,254</t>
  </si>
  <si>
    <t xml:space="preserve">  OCF Margin %</t>
  </si>
  <si>
    <t>29.4%</t>
  </si>
  <si>
    <t>28.4%</t>
  </si>
  <si>
    <t>31.0%</t>
  </si>
  <si>
    <t>28.8%</t>
  </si>
  <si>
    <t>30.2%</t>
  </si>
  <si>
    <t xml:space="preserve">  Free Cash Flow ($mm)</t>
  </si>
  <si>
    <t>73,365</t>
  </si>
  <si>
    <t>92,953</t>
  </si>
  <si>
    <t>111,443</t>
  </si>
  <si>
    <t>99,584</t>
  </si>
  <si>
    <t>108,807</t>
  </si>
  <si>
    <t>26.7%</t>
  </si>
  <si>
    <t>25.4%</t>
  </si>
  <si>
    <t>26.0%</t>
  </si>
  <si>
    <t>27.8%</t>
  </si>
  <si>
    <t xml:space="preserve">  FCF / Net Income</t>
  </si>
  <si>
    <t>1.28x</t>
  </si>
  <si>
    <t>0.98x</t>
  </si>
  <si>
    <t>1.12x</t>
  </si>
  <si>
    <t>1.03x</t>
  </si>
  <si>
    <t>1.16x</t>
  </si>
  <si>
    <t>APPLE INC. — DCF VALUATION MODEL ($ millions)</t>
  </si>
  <si>
    <t>Intrinsic value estimated using 5-year explicit FCF forecast + terminal value, discounted at WACC</t>
  </si>
  <si>
    <t>WACC COMPONENTS</t>
  </si>
  <si>
    <t>TERMINAL VALUE ASSUMPTIONS</t>
  </si>
  <si>
    <t>Risk-Free Rate</t>
  </si>
  <si>
    <t>Terminal Year FCF ($mm)</t>
  </si>
  <si>
    <t>→ From FCF forecast</t>
  </si>
  <si>
    <t>Beta</t>
  </si>
  <si>
    <t>Terminal Value ($mm)</t>
  </si>
  <si>
    <t>See Valuation Bridge below</t>
  </si>
  <si>
    <t>Cost of Equity</t>
  </si>
  <si>
    <t>Cost of Debt (after-tax)</t>
  </si>
  <si>
    <t>FREE CASH FLOW PROJECTION &amp; DISCOUNTING</t>
  </si>
  <si>
    <t xml:space="preserve">  (-) Taxes on EBIT</t>
  </si>
  <si>
    <t xml:space="preserve">  NOPAT</t>
  </si>
  <si>
    <t xml:space="preserve">  (+) D&amp;A ($mm)</t>
  </si>
  <si>
    <t xml:space="preserve">  (-) CapEx ($mm)</t>
  </si>
  <si>
    <t xml:space="preserve">  (-) Change in NWC ($mm)</t>
  </si>
  <si>
    <t>Unlevered Free Cash Flow</t>
  </si>
  <si>
    <t xml:space="preserve">  Discount Period (years)</t>
  </si>
  <si>
    <t xml:space="preserve">  Discount Factor</t>
  </si>
  <si>
    <t xml:space="preserve">  PV of Free Cash Flow</t>
  </si>
  <si>
    <t>VALUATION BRIDGE &amp; EQUITY VALUE</t>
  </si>
  <si>
    <t>Sum of PV (FCF)</t>
  </si>
  <si>
    <t>Terminal Value (Gordon Growth)</t>
  </si>
  <si>
    <t>PV of Terminal Value</t>
  </si>
  <si>
    <t>Enterprise Value (EV)</t>
  </si>
  <si>
    <t>(-) Net Debt / (+) Cash</t>
  </si>
  <si>
    <t>Equity Value</t>
  </si>
  <si>
    <t>Implied Share Price ($)</t>
  </si>
  <si>
    <t>SENSITIVITY ANALYSIS: IMPLIED SHARE PRICE vs WACC &amp; TGR</t>
  </si>
  <si>
    <t>WACC →</t>
  </si>
  <si>
    <t>9%</t>
  </si>
  <si>
    <t>10%</t>
  </si>
  <si>
    <t>11%</t>
  </si>
  <si>
    <t>12%</t>
  </si>
  <si>
    <t>13%</t>
  </si>
  <si>
    <t>TGR 2.0%</t>
  </si>
  <si>
    <t>TGR 2.5%</t>
  </si>
  <si>
    <t>TGR 3.0%</t>
  </si>
  <si>
    <t>TGR 3.5%</t>
  </si>
  <si>
    <t>TGR 4.0%</t>
  </si>
  <si>
    <t>APPLE INC. — SCENARIO ANALYSIS</t>
  </si>
  <si>
    <t>Three scenarios: Bull (optimistic), Base (most likely), Bear (pessimistic). All values in $mm unless stated.</t>
  </si>
  <si>
    <t>🐂  BULL CASE</t>
  </si>
  <si>
    <t>Driver</t>
  </si>
  <si>
    <t>Assumption</t>
  </si>
  <si>
    <t>FY2029E KPI</t>
  </si>
  <si>
    <t>Valuation Impact</t>
  </si>
  <si>
    <t>Revenue Growth</t>
  </si>
  <si>
    <t>Services: 18% pa; Products: 8% pa</t>
  </si>
  <si>
    <t>Rev $520bn by FY2029</t>
  </si>
  <si>
    <t>Drives ~$4.2tn EV</t>
  </si>
  <si>
    <t>Gross Margin</t>
  </si>
  <si>
    <t>AI-driven services mix shift to 55%</t>
  </si>
  <si>
    <t>GM% → 50%</t>
  </si>
  <si>
    <t>+$80bn vs Base</t>
  </si>
  <si>
    <t>FCF Conversion</t>
  </si>
  <si>
    <t>Capex discipline; 95% NI→FCF</t>
  </si>
  <si>
    <t>FCF $185bn</t>
  </si>
  <si>
    <t>Share price ~$290</t>
  </si>
  <si>
    <t>Share Buybacks</t>
  </si>
  <si>
    <t>$100bn+ pa repurchase program</t>
  </si>
  <si>
    <t>Shares -5% pa</t>
  </si>
  <si>
    <t>EPS accretive</t>
  </si>
  <si>
    <t>Macro / FX</t>
  </si>
  <si>
    <t>USD weakness; global demand strong</t>
  </si>
  <si>
    <t>Int'l rev +15%</t>
  </si>
  <si>
    <t>Bull terminal value</t>
  </si>
  <si>
    <t>Rev Growth (Avg)</t>
  </si>
  <si>
    <t>10-12%</t>
  </si>
  <si>
    <t>48-50%</t>
  </si>
  <si>
    <t>EBIT Margin</t>
  </si>
  <si>
    <t>33-35%</t>
  </si>
  <si>
    <t>FCF ($mm, FY2029E)</t>
  </si>
  <si>
    <t>~$185,000</t>
  </si>
  <si>
    <t>EV ($bn)</t>
  </si>
  <si>
    <t>~$4,200</t>
  </si>
  <si>
    <t>Share Price</t>
  </si>
  <si>
    <t>~$290</t>
  </si>
  <si>
    <t>EV/EBITDA</t>
  </si>
  <si>
    <t>~24x</t>
  </si>
  <si>
    <t>📊  BASE CASE</t>
  </si>
  <si>
    <t>Services: 13% pa; Products: 5% pa</t>
  </si>
  <si>
    <t>Rev $460bn by FY2029</t>
  </si>
  <si>
    <t>Drives ~$3.2tn EV</t>
  </si>
  <si>
    <t>Stable at 46-48%; iPhone mix stable</t>
  </si>
  <si>
    <t>GM% → 47.5%</t>
  </si>
  <si>
    <t>In-line with peers</t>
  </si>
  <si>
    <t>OCF grows ~8% pa; CapEx 2.8% rev</t>
  </si>
  <si>
    <t>FCF $165bn</t>
  </si>
  <si>
    <t>Share price ~$215</t>
  </si>
  <si>
    <t>$85-90bn pa; consistent with FY2024</t>
  </si>
  <si>
    <t>Shares -3% pa</t>
  </si>
  <si>
    <t>EPS support</t>
  </si>
  <si>
    <t>Neutral; modest China risk priced in</t>
  </si>
  <si>
    <t>Int'l rev stable</t>
  </si>
  <si>
    <t>Base terminal value</t>
  </si>
  <si>
    <t>6-8%</t>
  </si>
  <si>
    <t>46-48%</t>
  </si>
  <si>
    <t>30-32%</t>
  </si>
  <si>
    <t>~$165,000</t>
  </si>
  <si>
    <t>~$3,200</t>
  </si>
  <si>
    <t>~$215</t>
  </si>
  <si>
    <t>~20x</t>
  </si>
  <si>
    <t>🐻  BEAR CASE</t>
  </si>
  <si>
    <t>Services slow to 8%; Products flat</t>
  </si>
  <si>
    <t>Rev $400bn by FY2029</t>
  </si>
  <si>
    <t>Drives ~$2.2tn EV</t>
  </si>
  <si>
    <t>Margin pressure; competition rises</t>
  </si>
  <si>
    <t>GM% → 44%</t>
  </si>
  <si>
    <t>-$60bn vs Base</t>
  </si>
  <si>
    <t>Higher R&amp;D/legal costs; CapEx rises</t>
  </si>
  <si>
    <t>FCF $130bn</t>
  </si>
  <si>
    <t>Share price ~$145</t>
  </si>
  <si>
    <t>Buybacks moderate to $60bn pa</t>
  </si>
  <si>
    <t>Shares -1% pa</t>
  </si>
  <si>
    <t>EPS headwind</t>
  </si>
  <si>
    <t>China headwinds; USD strength hurts</t>
  </si>
  <si>
    <t>Int'l rev -5%</t>
  </si>
  <si>
    <t>Bear terminal value</t>
  </si>
  <si>
    <t>2-4%</t>
  </si>
  <si>
    <t>43-45%</t>
  </si>
  <si>
    <t>26-28%</t>
  </si>
  <si>
    <t>~$130,000</t>
  </si>
  <si>
    <t>~$2,200</t>
  </si>
  <si>
    <t>~$145</t>
  </si>
  <si>
    <t>~15x</t>
  </si>
  <si>
    <t>SCENARIO COMPARISON SUMMARY</t>
  </si>
  <si>
    <t>Metric</t>
  </si>
  <si>
    <t>Bull Case</t>
  </si>
  <si>
    <t>Base Case</t>
  </si>
  <si>
    <t>Bear Case</t>
  </si>
  <si>
    <t>Bear vs Base</t>
  </si>
  <si>
    <t>Bull vs Base</t>
  </si>
  <si>
    <t>Revenue FY2029E</t>
  </si>
  <si>
    <t>$520bn</t>
  </si>
  <si>
    <t>$460bn</t>
  </si>
  <si>
    <t>$400bn</t>
  </si>
  <si>
    <t>($60bn)</t>
  </si>
  <si>
    <t>$60bn</t>
  </si>
  <si>
    <t>34%</t>
  </si>
  <si>
    <t>31%</t>
  </si>
  <si>
    <t>27%</t>
  </si>
  <si>
    <t>(4pp)</t>
  </si>
  <si>
    <t>3pp</t>
  </si>
  <si>
    <t>Net Income FY2029E</t>
  </si>
  <si>
    <t>$175bn</t>
  </si>
  <si>
    <t>$145bn</t>
  </si>
  <si>
    <t>$108bn</t>
  </si>
  <si>
    <t>($37bn)</t>
  </si>
  <si>
    <t>$30bn</t>
  </si>
  <si>
    <t>FCF FY2029E</t>
  </si>
  <si>
    <t>$185bn</t>
  </si>
  <si>
    <t>$165bn</t>
  </si>
  <si>
    <t>$130bn</t>
  </si>
  <si>
    <t>($35bn)</t>
  </si>
  <si>
    <t>$20bn</t>
  </si>
  <si>
    <t>Enterprise Value</t>
  </si>
  <si>
    <t>~$4.2tn</t>
  </si>
  <si>
    <t>~$3.2tn</t>
  </si>
  <si>
    <t>~$2.2tn</t>
  </si>
  <si>
    <t>($1.0tn)</t>
  </si>
  <si>
    <t>$1.0tn</t>
  </si>
  <si>
    <t>Implied Share Price</t>
  </si>
  <si>
    <t>($70)</t>
  </si>
  <si>
    <t>$75</t>
  </si>
  <si>
    <t>EV/EBITDA Multiple</t>
  </si>
  <si>
    <t>(5x)</t>
  </si>
  <si>
    <t>4x</t>
  </si>
  <si>
    <t>FCF Yield (on EV)</t>
  </si>
  <si>
    <t>~4.4%</t>
  </si>
  <si>
    <t>~5.2%</t>
  </si>
  <si>
    <t>~5.9%</t>
  </si>
  <si>
    <t>0.7pp</t>
  </si>
  <si>
    <t>(0.8pp)</t>
  </si>
  <si>
    <t>APPLE INC. (AAPL) — FINANCIAL DASHBOARD</t>
  </si>
  <si>
    <t>FY2020–FY2024 Historical  ·  FY2025E–FY2029E Forecast  ·  All figures in $mm</t>
  </si>
  <si>
    <t>FY2024 Revenue</t>
  </si>
  <si>
    <t>FY2024 Net Income</t>
  </si>
  <si>
    <t>FY2024 Gross Margin</t>
  </si>
  <si>
    <t>FY2024 FCF</t>
  </si>
  <si>
    <t>FY2029E Share Price</t>
  </si>
  <si>
    <t>$391 bn</t>
  </si>
  <si>
    <t>$93.7 bn</t>
  </si>
  <si>
    <t>$108.8 bn</t>
  </si>
  <si>
    <t>↑ 2.0% YoY</t>
  </si>
  <si>
    <t>Net Margin: 24.0%</t>
  </si>
  <si>
    <t>Record high</t>
  </si>
  <si>
    <t>FCF Margin: 27.8%</t>
  </si>
  <si>
    <t>Base Case DCF</t>
  </si>
  <si>
    <t>CHART DATA (DO NOT EDIT)</t>
  </si>
  <si>
    <t>Year</t>
  </si>
  <si>
    <t>Revenue</t>
  </si>
  <si>
    <t>Free Cash Flow</t>
  </si>
  <si>
    <t>VALUATION SCENARIO SUMMARY</t>
  </si>
  <si>
    <t>$145</t>
  </si>
  <si>
    <t>███████</t>
  </si>
  <si>
    <t>$215</t>
  </si>
  <si>
    <t>██████████</t>
  </si>
  <si>
    <t>$290</t>
  </si>
  <si>
    <t>████████████</t>
  </si>
  <si>
    <t>Current Market Price (Mar 2025): ~$222 | Base Case: $215 | ±15% fair value range</t>
  </si>
  <si>
    <t>APPLE INC. — ANALYST INSIGHTS &amp; RECOMMENDATIONS</t>
  </si>
  <si>
    <t>Prepared by: Financial Analyst  |  Date: March 2025  |  Rating: HOLD / Fairly Valued at Base Case</t>
  </si>
  <si>
    <t>📈 KEY FINANCIAL FINDINGS</t>
  </si>
  <si>
    <t>Column1</t>
  </si>
  <si>
    <t>Consistent Revenue Growth with Margin Pressure</t>
  </si>
  <si>
    <t>The company has demonstrated steady revenue growth over the historical period; however, profit margins show slight compression due to increasing operating expenses. This indicates that while top-line growth is strong, cost management is becoming a critical factor.
.</t>
  </si>
  <si>
    <t>Strong Cash Flow Generation and Liquidity Position</t>
  </si>
  <si>
    <t>The company maintains stable and positive free cash flows, reflecting strong operational efficiency and liquidity. This supports its ability to fund operations, investments, and shareholder returns without heavy reliance on external financing</t>
  </si>
  <si>
    <t>Balanced Capital Structure with Moderate Financial Risk</t>
  </si>
  <si>
    <t xml:space="preserve">The debt-to-equity ratio remains within a reasonable range, indicating a balanced capital structure. The company is not overly leveraged, which reduces financial risk and enhances long-term stability.
</t>
  </si>
  <si>
    <t>Valuation Sensitivity to Growth Assumptions</t>
  </si>
  <si>
    <t>The Discounted Cash Flow (DCF) valuation is highly sensitive to revenue growth rates and discount rate assumptions. Small changes in these inputs significantly impact the estimated intrinsic value, highlighting moderate valuation risk..</t>
  </si>
  <si>
    <t>🔮 FORECAST OUTLOOK</t>
  </si>
  <si>
    <t>Revenue: $415bn–$545bn by FY2029E (Base Case)</t>
  </si>
  <si>
    <t>We project blended revenue CAGR of ~6.8% over FY2025–FY2029E, driven by: (1) Services growing at 13-15% pa — AI integration (Apple Intelligence) expanding monetization; (2) Products at 5-8% — iPhone 17 cycle expected in FY2025, Vision Pro scaling, and emerging markets penetration. India is becoming a critical growth market.</t>
  </si>
  <si>
    <t>Margins Expected to Expand 150–200bps</t>
  </si>
  <si>
    <t>Services mix shift is the primary margin driver. Gross margin projected to reach 48% by FY2029E. Operating leverage on a largely fixed R&amp;D and SG&amp;A base means EBIT margin should expand toward 33-35% in the Bull Case. R&amp;D investment (6.5% of rev) is expected to yield productivity gains via AI features.</t>
  </si>
  <si>
    <t>FCF to Exceed $160bn by FY2029E</t>
  </si>
  <si>
    <t>OCF growth of 8-10% pa combined with disciplined CapEx (~2.8% of revenue vs 2.4% historically) drives FCF to $160-185bn range across scenarios. FCF yield of ~4-5% on the current enterprise value is attractive vs peers.</t>
  </si>
  <si>
    <t>💰 DCF VALUATION SUMMARY</t>
  </si>
  <si>
    <t>Implied Fair Value: $145–$290 (Base: ~$215)</t>
  </si>
  <si>
    <t>Our DCF uses a WACC of 10.1% (Cost of Equity 11.0%, Cost of Debt 2.5% after-tax, 97% equity weight) and a terminal growth rate of 3.0%. The base case yields an implied enterprise value of ~$3.2tn and equity value implying ~$215/share. This compares to the current market price of ~$222 as of March 2025, suggesting the stock is approximately fairly valued (±5%). The sensitivity table shows share price ranges from ~$145 (9% WACC, 2% TGR) to ~$290 (11% WACC, 3.5% TGR).</t>
  </si>
  <si>
    <t>Valuation Is Most Sensitive to Growth Assumptions</t>
  </si>
  <si>
    <t>A 1% change in the terminal growth rate moves the implied share price by approximately ±$25-35. Valuation is highly sensitive to Services revenue growth — if Services achieves 18%+ CAGR (Bull Case), the implied price rises to $290+. Conversely, a slowdown in Services to &lt;8% growth collapses intrinsic value significantly. Investors should monitor Services attach rates, AI monetization, and App Store regulatory risks.</t>
  </si>
  <si>
    <t>⚠️ KEY RISKS</t>
  </si>
  <si>
    <t>China Revenue Risk (22% of Revenue)</t>
  </si>
  <si>
    <t>Apple derives ~22% of revenue from Greater China. Escalating US-China trade tensions, Huawei's resurgent premium competition, and potential tariff escalation represent the largest near-term revenue risk. A 10% decline in China revenue would reduce EPS by ~$0.50 and compress the DCF share price by ~$15-20.</t>
  </si>
  <si>
    <t>App Store Regulatory Pressure</t>
  </si>
  <si>
    <t>Multiple jurisdictions (EU Digital Markets Act, US DOJ antitrust, Japanese FTC) are forcing changes to App Store policies. Reduced take rates (from 30% to 15-20%) could reduce Services revenue by $3-5bn pa in a worst case, compressing the high-margin Services segment.</t>
  </si>
  <si>
    <t>AI / Platform Disruption</t>
  </si>
  <si>
    <t>While Apple Intelligence is a competitive differentiator, broader AI shifts (OpenAI, Google Gemini, Perplexity) could reduce smartphone utility and elongate upgrade cycles. Apple's ecosystem stickiness mitigates this, but the risk of platform commoditization is real over a 5-10 year horizon.</t>
  </si>
  <si>
    <t>Supply Chain Concentration</t>
  </si>
  <si>
    <t>TSMC manufactures Apple's proprietary chips (A/M series). Any geopolitical disruption to Taiwan represents a catastrophic tail risk. Apple is diversifying to India manufacturing for iPhones, but chip fabrication concentration remains.</t>
  </si>
  <si>
    <t>💡 INVESTMENT RECOMMENDATIONS</t>
  </si>
  <si>
    <t>Rating: HOLD (Fairly Valued) — Base Case</t>
  </si>
  <si>
    <t>At ~$222/share, Apple is approximately fairly valued in our base case DCF ($215). The stock trades at ~28x forward P/E and ~22x forward EV/EBITDA — premium multiples justified by its durable competitive moat, exceptional FCF generation, and superior capital return program. We recommend HOLD for current shareholders and would look to BUY on any pullback to &lt;$190 (which represents a ~15% margin of safety to our DCF).</t>
  </si>
  <si>
    <t>Bull Case Trigger: Buy below $190</t>
  </si>
  <si>
    <t>If the stock pulls back to $185-190 on macro weakness or iPhone cycle concerns (which we view as temporary), the risk/reward becomes very attractive with a 50%+ upside to the Bull Case price of $290. Catalysts: AI monetization exceeding expectations, India market penetration, Vision Pro ecosystem maturing.</t>
  </si>
  <si>
    <t>Monitor These Metrics Quarterly</t>
  </si>
  <si>
    <t>1) Services revenue growth rate (must stay &gt;12% for base case); 2) Gross margin trend (any sustained decline below 44% is a bear signal); 3) China revenue (monitor for &gt;5% declines); 4) iPhone unit volumes (leading indicator of Services attach); 5) Share repurchase pace (capital return commitment signal).</t>
  </si>
  <si>
    <t>Long-Term Thesis Intact</t>
  </si>
  <si>
    <t>Apple's ecosystem lock-in, 2.2bn active device base, growing developer community, and expanding Services flywheel create one of the most durable competitive moats in history. The transition from a hardware company to a services/platform company is structurally margin-accretive and increases revenue visibility. For long-term investors (5+ year horizon), Apple remains a core portfolio holding.</t>
  </si>
  <si>
    <t>DISCLAIMER: This analysis is for educational purposes only. Not financial advice. Data sourced from Apple 10-K filings (FY2020-FY2024). All forecasts are model estimates subject to material uncertainty.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</si>
</sst>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0.0%;\(0.0%\);\-"/>
    <numFmt numFmtId="181" formatCode="#,##0;\(#,##0\);\-"/>
    <numFmt numFmtId="182" formatCode="0.0000"/>
    <numFmt numFmtId="183" formatCode="&quot;$&quot;#,##0.00"/>
    <numFmt numFmtId="184" formatCode="&quot;$&quot;#,##0"/>
    <numFmt numFmtId="185" formatCode="0.0"/>
  </numFmts>
  <fonts count="80">
    <font>
      <sz val="11"/>
      <color theme="1"/>
      <name val="Calibri"/>
      <charset val="1"/>
    </font>
    <font>
      <b/>
      <sz val="13"/>
      <color rgb="FFFFFFFF"/>
      <name val="Arial"/>
      <charset val="1"/>
    </font>
    <font>
      <i/>
      <sz val="9"/>
      <color rgb="FF666666"/>
      <name val="Arial"/>
      <charset val="1"/>
    </font>
    <font>
      <b/>
      <sz val="11"/>
      <color rgb="FF2F5496"/>
      <name val="Arial"/>
      <charset val="1"/>
    </font>
    <font>
      <b/>
      <sz val="10"/>
      <color rgb="FF1F3864"/>
      <name val="Arial"/>
      <charset val="1"/>
    </font>
    <font>
      <sz val="9"/>
      <color rgb="FF333333"/>
      <name val="Arial"/>
      <charset val="1"/>
    </font>
    <font>
      <b/>
      <sz val="11"/>
      <color rgb="FF1F3864"/>
      <name val="Arial"/>
      <charset val="1"/>
    </font>
    <font>
      <b/>
      <sz val="11"/>
      <color rgb="FFC55A11"/>
      <name val="Arial"/>
      <charset val="1"/>
    </font>
    <font>
      <b/>
      <sz val="11"/>
      <color rgb="FF9C0006"/>
      <name val="Arial"/>
      <charset val="1"/>
    </font>
    <font>
      <b/>
      <sz val="11"/>
      <color rgb="FF276221"/>
      <name val="Arial"/>
      <charset val="1"/>
    </font>
    <font>
      <i/>
      <sz val="8"/>
      <color rgb="FF888888"/>
      <name val="Arial"/>
      <charset val="1"/>
    </font>
    <font>
      <b/>
      <sz val="18"/>
      <color rgb="FF1F3864"/>
      <name val="Arial"/>
      <charset val="1"/>
    </font>
    <font>
      <i/>
      <sz val="10"/>
      <color rgb="FF888888"/>
      <name val="Arial"/>
      <charset val="1"/>
    </font>
    <font>
      <b/>
      <sz val="8"/>
      <color rgb="FFFFFFFF"/>
      <name val="Arial"/>
      <charset val="1"/>
    </font>
    <font>
      <b/>
      <sz val="14"/>
      <color rgb="FFFFFFFF"/>
      <name val="Arial"/>
      <charset val="1"/>
    </font>
    <font>
      <i/>
      <sz val="8"/>
      <color rgb="FFFFFFFF"/>
      <name val="Arial"/>
      <charset val="1"/>
    </font>
    <font>
      <sz val="8"/>
      <color rgb="FFCCCCCC"/>
      <name val="Arial"/>
      <charset val="1"/>
    </font>
    <font>
      <b/>
      <sz val="9"/>
      <name val="Arial"/>
      <charset val="1"/>
    </font>
    <font>
      <b/>
      <sz val="8"/>
      <name val="Arial"/>
      <charset val="1"/>
    </font>
    <font>
      <sz val="9"/>
      <name val="Arial"/>
      <charset val="1"/>
    </font>
    <font>
      <b/>
      <sz val="11"/>
      <color rgb="FFFFFFFF"/>
      <name val="Arial"/>
      <charset val="1"/>
    </font>
    <font>
      <b/>
      <sz val="10"/>
      <color rgb="FF9C0006"/>
      <name val="Arial"/>
      <charset val="1"/>
    </font>
    <font>
      <b/>
      <sz val="12"/>
      <color rgb="FF9C0006"/>
      <name val="Arial"/>
      <charset val="1"/>
    </font>
    <font>
      <sz val="8"/>
      <color rgb="FF9C0006"/>
      <name val="Arial"/>
      <charset val="1"/>
    </font>
    <font>
      <b/>
      <sz val="10"/>
      <color rgb="FF2F5496"/>
      <name val="Arial"/>
      <charset val="1"/>
    </font>
    <font>
      <b/>
      <sz val="12"/>
      <color rgb="FF2F5496"/>
      <name val="Arial"/>
      <charset val="1"/>
    </font>
    <font>
      <sz val="8"/>
      <color rgb="FF2F5496"/>
      <name val="Arial"/>
      <charset val="1"/>
    </font>
    <font>
      <b/>
      <sz val="10"/>
      <color rgb="FF276221"/>
      <name val="Arial"/>
      <charset val="1"/>
    </font>
    <font>
      <b/>
      <sz val="12"/>
      <color rgb="FF276221"/>
      <name val="Arial"/>
      <charset val="1"/>
    </font>
    <font>
      <sz val="8"/>
      <color rgb="FF276221"/>
      <name val="Arial"/>
      <charset val="1"/>
    </font>
    <font>
      <i/>
      <sz val="9"/>
      <color rgb="FF555555"/>
      <name val="Arial"/>
      <charset val="1"/>
    </font>
    <font>
      <b/>
      <sz val="9"/>
      <color rgb="FFFFFFFF"/>
      <name val="Arial"/>
      <charset val="1"/>
    </font>
    <font>
      <sz val="9"/>
      <color rgb="FF276221"/>
      <name val="Arial"/>
      <charset val="1"/>
    </font>
    <font>
      <b/>
      <sz val="9"/>
      <color rgb="FF276221"/>
      <name val="Arial"/>
      <charset val="1"/>
    </font>
    <font>
      <sz val="9"/>
      <color rgb="FF2F5496"/>
      <name val="Arial"/>
      <charset val="1"/>
    </font>
    <font>
      <b/>
      <sz val="9"/>
      <color rgb="FF2F5496"/>
      <name val="Arial"/>
      <charset val="1"/>
    </font>
    <font>
      <sz val="9"/>
      <color rgb="FF9C0006"/>
      <name val="Arial"/>
      <charset val="1"/>
    </font>
    <font>
      <b/>
      <sz val="9"/>
      <color rgb="FF9C0006"/>
      <name val="Arial"/>
      <charset val="1"/>
    </font>
    <font>
      <b/>
      <sz val="10"/>
      <color rgb="FF000000"/>
      <name val="Arial"/>
      <charset val="1"/>
    </font>
    <font>
      <sz val="9"/>
      <color rgb="FF000000"/>
      <name val="Arial"/>
      <charset val="1"/>
    </font>
    <font>
      <b/>
      <sz val="10"/>
      <color rgb="FFFFFFFF"/>
      <name val="Arial"/>
      <charset val="1"/>
    </font>
    <font>
      <sz val="10"/>
      <color rgb="FF000000"/>
      <name val="Arial"/>
      <charset val="1"/>
    </font>
    <font>
      <sz val="10"/>
      <color rgb="FF008000"/>
      <name val="Arial"/>
      <charset val="1"/>
    </font>
    <font>
      <sz val="10"/>
      <color rgb="FF888888"/>
      <name val="Arial"/>
      <charset val="1"/>
    </font>
    <font>
      <b/>
      <sz val="10"/>
      <color rgb="FF008000"/>
      <name val="Arial"/>
      <charset val="1"/>
    </font>
    <font>
      <sz val="10"/>
      <color rgb="FF0000FF"/>
      <name val="Arial"/>
      <charset val="1"/>
    </font>
    <font>
      <sz val="10"/>
      <color rgb="FF555555"/>
      <name val="Arial"/>
      <charset val="1"/>
    </font>
    <font>
      <b/>
      <sz val="8"/>
      <color rgb="FF2F5496"/>
      <name val="Arial"/>
      <charset val="1"/>
    </font>
    <font>
      <b/>
      <sz val="8"/>
      <color rgb="FFC55A11"/>
      <name val="Arial"/>
      <charset val="1"/>
    </font>
    <font>
      <b/>
      <sz val="9"/>
      <color rgb="FF555555"/>
      <name val="Arial"/>
      <charset val="1"/>
    </font>
    <font>
      <i/>
      <sz val="9"/>
      <color rgb="FF888888"/>
      <name val="Arial"/>
      <charset val="1"/>
    </font>
    <font>
      <b/>
      <sz val="28"/>
      <color rgb="FFFFFFFF"/>
      <name val="Arial"/>
      <charset val="1"/>
    </font>
    <font>
      <sz val="16"/>
      <color rgb="FFBDD7EE"/>
      <name val="Arial"/>
      <charset val="1"/>
    </font>
    <font>
      <sz val="11"/>
      <color rgb="FFAAAAAA"/>
      <name val="Arial"/>
      <charset val="1"/>
    </font>
    <font>
      <b/>
      <sz val="11"/>
      <color rgb="FFBDD7EE"/>
      <name val="Arial"/>
      <charset val="1"/>
    </font>
    <font>
      <sz val="11"/>
      <color rgb="FFFFFFFF"/>
      <name val="Arial"/>
      <charset val="1"/>
    </font>
    <font>
      <b/>
      <sz val="12"/>
      <color rgb="FFBDD7EE"/>
      <name val="Arial"/>
      <charset val="1"/>
    </font>
    <font>
      <b/>
      <sz val="10"/>
      <color rgb="FFFFF2CC"/>
      <name val="Arial"/>
      <charset val="1"/>
    </font>
    <font>
      <sz val="10"/>
      <color rgb="FFAAAAAA"/>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8">
    <fill>
      <patternFill patternType="none"/>
    </fill>
    <fill>
      <patternFill patternType="gray125"/>
    </fill>
    <fill>
      <patternFill patternType="solid">
        <fgColor rgb="FFFFFFFF"/>
        <bgColor rgb="FFF9F9F9"/>
      </patternFill>
    </fill>
    <fill>
      <patternFill patternType="solid">
        <fgColor rgb="FF1F3864"/>
        <bgColor rgb="FF333333"/>
      </patternFill>
    </fill>
    <fill>
      <patternFill patternType="solid">
        <fgColor rgb="FFE2EFDA"/>
        <bgColor rgb="FFDEEAF1"/>
      </patternFill>
    </fill>
    <fill>
      <patternFill patternType="solid">
        <fgColor rgb="FFDEEAF1"/>
        <bgColor rgb="FFE2EFDA"/>
      </patternFill>
    </fill>
    <fill>
      <patternFill patternType="solid">
        <fgColor rgb="FFFFF2CC"/>
        <bgColor rgb="FFFCE4D6"/>
      </patternFill>
    </fill>
    <fill>
      <patternFill patternType="solid">
        <fgColor rgb="FFFCE4D6"/>
        <bgColor rgb="FFFFF2CC"/>
      </patternFill>
    </fill>
    <fill>
      <patternFill patternType="solid">
        <fgColor rgb="FFF5F7FA"/>
        <bgColor rgb="FFF9F9F9"/>
      </patternFill>
    </fill>
    <fill>
      <patternFill patternType="solid">
        <fgColor rgb="FF2F5496"/>
        <bgColor rgb="FF1F6AA5"/>
      </patternFill>
    </fill>
    <fill>
      <patternFill patternType="solid">
        <fgColor rgb="FF1F6AA5"/>
        <bgColor rgb="FF2E75B6"/>
      </patternFill>
    </fill>
    <fill>
      <patternFill patternType="solid">
        <fgColor rgb="FF2E75B6"/>
        <bgColor rgb="FF3B7DA5"/>
      </patternFill>
    </fill>
    <fill>
      <patternFill patternType="solid">
        <fgColor rgb="FFC55A11"/>
        <bgColor rgb="FFC07332"/>
      </patternFill>
    </fill>
    <fill>
      <patternFill patternType="solid">
        <fgColor rgb="FFBDD7EE"/>
        <bgColor rgb="FFCCCCCC"/>
      </patternFill>
    </fill>
    <fill>
      <patternFill patternType="solid">
        <fgColor rgb="FFC6EFCE"/>
        <bgColor rgb="FFE2EFDA"/>
      </patternFill>
    </fill>
    <fill>
      <patternFill patternType="solid">
        <fgColor rgb="FFFFC7CE"/>
        <bgColor rgb="FFFCE4D6"/>
      </patternFill>
    </fill>
    <fill>
      <patternFill patternType="solid">
        <fgColor rgb="FFF2F2F2"/>
        <bgColor rgb="FFF5F7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style="thin">
        <color rgb="FFBFBFBF"/>
      </right>
      <top style="thin">
        <color rgb="FFBFBFBF"/>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9" fillId="0" borderId="0" applyBorder="0" applyAlignment="0" applyProtection="0"/>
    <xf numFmtId="177" fontId="59" fillId="0" borderId="0" applyBorder="0" applyAlignment="0" applyProtection="0"/>
    <xf numFmtId="9" fontId="59" fillId="0" borderId="0" applyBorder="0" applyAlignment="0" applyProtection="0"/>
    <xf numFmtId="178" fontId="59" fillId="0" borderId="0" applyBorder="0" applyAlignment="0" applyProtection="0"/>
    <xf numFmtId="179" fontId="59" fillId="0" borderId="0" applyBorder="0" applyAlignment="0" applyProtection="0"/>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17" borderId="5"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6" applyNumberFormat="0" applyFill="0" applyAlignment="0" applyProtection="0">
      <alignment vertical="center"/>
    </xf>
    <xf numFmtId="0" fontId="67" fillId="0" borderId="6" applyNumberFormat="0" applyFill="0" applyAlignment="0" applyProtection="0">
      <alignment vertical="center"/>
    </xf>
    <xf numFmtId="0" fontId="68" fillId="0" borderId="7" applyNumberFormat="0" applyFill="0" applyAlignment="0" applyProtection="0">
      <alignment vertical="center"/>
    </xf>
    <xf numFmtId="0" fontId="68" fillId="0" borderId="0" applyNumberFormat="0" applyFill="0" applyBorder="0" applyAlignment="0" applyProtection="0">
      <alignment vertical="center"/>
    </xf>
    <xf numFmtId="0" fontId="69" fillId="18" borderId="8" applyNumberFormat="0" applyAlignment="0" applyProtection="0">
      <alignment vertical="center"/>
    </xf>
    <xf numFmtId="0" fontId="70" fillId="19" borderId="9" applyNumberFormat="0" applyAlignment="0" applyProtection="0">
      <alignment vertical="center"/>
    </xf>
    <xf numFmtId="0" fontId="71" fillId="19" borderId="8" applyNumberFormat="0" applyAlignment="0" applyProtection="0">
      <alignment vertical="center"/>
    </xf>
    <xf numFmtId="0" fontId="72" fillId="20" borderId="10" applyNumberFormat="0" applyAlignment="0" applyProtection="0">
      <alignment vertical="center"/>
    </xf>
    <xf numFmtId="0" fontId="73" fillId="0" borderId="11" applyNumberFormat="0" applyFill="0" applyAlignment="0" applyProtection="0">
      <alignment vertical="center"/>
    </xf>
    <xf numFmtId="0" fontId="74" fillId="0" borderId="12" applyNumberFormat="0" applyFill="0" applyAlignment="0" applyProtection="0">
      <alignment vertical="center"/>
    </xf>
    <xf numFmtId="0" fontId="75" fillId="21" borderId="0" applyNumberFormat="0" applyBorder="0" applyAlignment="0" applyProtection="0">
      <alignment vertical="center"/>
    </xf>
    <xf numFmtId="0" fontId="76" fillId="22" borderId="0" applyNumberFormat="0" applyBorder="0" applyAlignment="0" applyProtection="0">
      <alignment vertical="center"/>
    </xf>
    <xf numFmtId="0" fontId="77" fillId="23" borderId="0" applyNumberFormat="0" applyBorder="0" applyAlignment="0" applyProtection="0">
      <alignment vertical="center"/>
    </xf>
    <xf numFmtId="0" fontId="78" fillId="24" borderId="0" applyNumberFormat="0" applyBorder="0" applyAlignment="0" applyProtection="0">
      <alignment vertical="center"/>
    </xf>
    <xf numFmtId="0" fontId="79" fillId="25" borderId="0" applyNumberFormat="0" applyBorder="0" applyAlignment="0" applyProtection="0">
      <alignment vertical="center"/>
    </xf>
    <xf numFmtId="0" fontId="79" fillId="26"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9" fillId="29" borderId="0" applyNumberFormat="0" applyBorder="0" applyAlignment="0" applyProtection="0">
      <alignment vertical="center"/>
    </xf>
    <xf numFmtId="0" fontId="79" fillId="30"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9" fillId="33" borderId="0" applyNumberFormat="0" applyBorder="0" applyAlignment="0" applyProtection="0">
      <alignment vertical="center"/>
    </xf>
    <xf numFmtId="0" fontId="79" fillId="34" borderId="0" applyNumberFormat="0" applyBorder="0" applyAlignment="0" applyProtection="0">
      <alignment vertical="center"/>
    </xf>
    <xf numFmtId="0" fontId="78" fillId="35" borderId="0" applyNumberFormat="0" applyBorder="0" applyAlignment="0" applyProtection="0">
      <alignment vertical="center"/>
    </xf>
    <xf numFmtId="0" fontId="78" fillId="36" borderId="0" applyNumberFormat="0" applyBorder="0" applyAlignment="0" applyProtection="0">
      <alignment vertical="center"/>
    </xf>
    <xf numFmtId="0" fontId="79" fillId="37" borderId="0" applyNumberFormat="0" applyBorder="0" applyAlignment="0" applyProtection="0">
      <alignment vertical="center"/>
    </xf>
    <xf numFmtId="0" fontId="79" fillId="38" borderId="0" applyNumberFormat="0" applyBorder="0" applyAlignment="0" applyProtection="0">
      <alignment vertical="center"/>
    </xf>
    <xf numFmtId="0" fontId="78" fillId="39" borderId="0" applyNumberFormat="0" applyBorder="0" applyAlignment="0" applyProtection="0">
      <alignment vertical="center"/>
    </xf>
    <xf numFmtId="0" fontId="78" fillId="40" borderId="0" applyNumberFormat="0" applyBorder="0" applyAlignment="0" applyProtection="0">
      <alignment vertical="center"/>
    </xf>
    <xf numFmtId="0" fontId="79" fillId="41" borderId="0" applyNumberFormat="0" applyBorder="0" applyAlignment="0" applyProtection="0">
      <alignment vertical="center"/>
    </xf>
    <xf numFmtId="0" fontId="79" fillId="42" borderId="0" applyNumberFormat="0" applyBorder="0" applyAlignment="0" applyProtection="0">
      <alignment vertical="center"/>
    </xf>
    <xf numFmtId="0" fontId="78" fillId="43" borderId="0" applyNumberFormat="0" applyBorder="0" applyAlignment="0" applyProtection="0">
      <alignment vertical="center"/>
    </xf>
    <xf numFmtId="0" fontId="78" fillId="44" borderId="0" applyNumberFormat="0" applyBorder="0" applyAlignment="0" applyProtection="0">
      <alignment vertical="center"/>
    </xf>
    <xf numFmtId="0" fontId="79" fillId="45" borderId="0" applyNumberFormat="0" applyBorder="0" applyAlignment="0" applyProtection="0">
      <alignment vertical="center"/>
    </xf>
    <xf numFmtId="0" fontId="79" fillId="46" borderId="0" applyNumberFormat="0" applyBorder="0" applyAlignment="0" applyProtection="0">
      <alignment vertical="center"/>
    </xf>
    <xf numFmtId="0" fontId="78" fillId="47" borderId="0" applyNumberFormat="0" applyBorder="0" applyAlignment="0" applyProtection="0">
      <alignment vertical="center"/>
    </xf>
  </cellStyleXfs>
  <cellXfs count="128">
    <xf numFmtId="0" fontId="0" fillId="0" borderId="0" xfId="0"/>
    <xf numFmtId="0" fontId="0" fillId="0" borderId="0" xfId="0" applyAlignment="1"/>
    <xf numFmtId="0" fontId="0" fillId="2" borderId="0" xfId="0" applyFill="1" applyAlignment="1"/>
    <xf numFmtId="0" fontId="1" fillId="3"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3" fillId="4" borderId="1" xfId="0" applyFont="1" applyFill="1" applyBorder="1" applyAlignment="1">
      <alignment horizontal="left" vertical="center"/>
    </xf>
    <xf numFmtId="0" fontId="4" fillId="2" borderId="2" xfId="0" applyFont="1" applyFill="1" applyBorder="1" applyAlignment="1">
      <alignment horizontal="left" vertical="top" wrapText="1"/>
    </xf>
    <xf numFmtId="0" fontId="5" fillId="2" borderId="2" xfId="0" applyFont="1" applyFill="1" applyBorder="1" applyAlignment="1">
      <alignment horizontal="left" vertical="top" wrapText="1"/>
    </xf>
    <xf numFmtId="0" fontId="6" fillId="5" borderId="1" xfId="0" applyFont="1" applyFill="1" applyBorder="1" applyAlignment="1">
      <alignment horizontal="left" vertical="center"/>
    </xf>
    <xf numFmtId="0" fontId="7" fillId="6" borderId="1" xfId="0" applyFont="1" applyFill="1" applyBorder="1" applyAlignment="1">
      <alignment horizontal="left" vertical="center"/>
    </xf>
    <xf numFmtId="0" fontId="8" fillId="7" borderId="1" xfId="0" applyFont="1" applyFill="1" applyBorder="1" applyAlignment="1">
      <alignment horizontal="left" vertical="center"/>
    </xf>
    <xf numFmtId="0" fontId="9" fillId="4" borderId="1" xfId="0" applyFont="1" applyFill="1" applyBorder="1" applyAlignment="1">
      <alignment horizontal="left" vertical="center"/>
    </xf>
    <xf numFmtId="0" fontId="10" fillId="2" borderId="0" xfId="0" applyFont="1" applyFill="1" applyBorder="1" applyAlignment="1">
      <alignment horizontal="left" wrapText="1"/>
    </xf>
    <xf numFmtId="0" fontId="0" fillId="8" borderId="0" xfId="0" applyFill="1" applyAlignment="1"/>
    <xf numFmtId="0" fontId="11" fillId="8" borderId="0" xfId="0" applyFont="1" applyFill="1" applyBorder="1" applyAlignment="1">
      <alignment horizontal="center" vertical="center" wrapText="1"/>
    </xf>
    <xf numFmtId="0" fontId="12" fillId="8" borderId="0"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9" borderId="3"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4" fillId="11" borderId="3"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6" fillId="8" borderId="0" xfId="0" applyFont="1" applyFill="1" applyAlignment="1"/>
    <xf numFmtId="0" fontId="17" fillId="8" borderId="0" xfId="0" applyFont="1" applyFill="1" applyAlignment="1"/>
    <xf numFmtId="0" fontId="18" fillId="8" borderId="0" xfId="0" applyFont="1" applyFill="1" applyAlignment="1">
      <alignment horizontal="center" vertical="center" wrapText="1"/>
    </xf>
    <xf numFmtId="0" fontId="19" fillId="8" borderId="0" xfId="0" applyFont="1" applyFill="1" applyAlignment="1"/>
    <xf numFmtId="0" fontId="0" fillId="8" borderId="0" xfId="0" applyFill="1" applyAlignment="1">
      <alignment horizontal="right" vertical="center"/>
    </xf>
    <xf numFmtId="0" fontId="20" fillId="3" borderId="0" xfId="0" applyFont="1" applyFill="1" applyBorder="1" applyAlignment="1">
      <alignment horizontal="center" vertical="center" wrapText="1"/>
    </xf>
    <xf numFmtId="0" fontId="21" fillId="7" borderId="1" xfId="0" applyFont="1" applyFill="1" applyBorder="1" applyAlignment="1">
      <alignment horizontal="left" vertical="center"/>
    </xf>
    <xf numFmtId="0" fontId="22" fillId="7" borderId="1" xfId="0" applyFont="1" applyFill="1" applyBorder="1" applyAlignment="1">
      <alignment horizontal="center" vertical="center" wrapText="1"/>
    </xf>
    <xf numFmtId="0" fontId="23" fillId="7" borderId="1" xfId="0" applyFont="1" applyFill="1" applyBorder="1" applyAlignment="1">
      <alignment horizontal="left" vertical="center"/>
    </xf>
    <xf numFmtId="0" fontId="24" fillId="13" borderId="1" xfId="0" applyFont="1" applyFill="1" applyBorder="1" applyAlignment="1">
      <alignment horizontal="left" vertical="center"/>
    </xf>
    <xf numFmtId="0" fontId="25" fillId="13" borderId="1" xfId="0" applyFont="1" applyFill="1" applyBorder="1" applyAlignment="1">
      <alignment horizontal="center" vertical="center" wrapText="1"/>
    </xf>
    <xf numFmtId="0" fontId="26" fillId="13" borderId="1" xfId="0" applyFont="1" applyFill="1" applyBorder="1" applyAlignment="1">
      <alignment horizontal="left" vertical="center"/>
    </xf>
    <xf numFmtId="0" fontId="27" fillId="4" borderId="1" xfId="0" applyFont="1" applyFill="1" applyBorder="1" applyAlignment="1">
      <alignment horizontal="left" vertical="center"/>
    </xf>
    <xf numFmtId="0" fontId="28" fillId="4" borderId="1" xfId="0" applyFont="1" applyFill="1" applyBorder="1" applyAlignment="1">
      <alignment horizontal="center" vertical="center" wrapText="1"/>
    </xf>
    <xf numFmtId="0" fontId="29" fillId="4" borderId="1" xfId="0" applyFont="1" applyFill="1" applyBorder="1" applyAlignment="1">
      <alignment horizontal="left" vertical="center"/>
    </xf>
    <xf numFmtId="0" fontId="2" fillId="8" borderId="0" xfId="0" applyFont="1" applyFill="1" applyBorder="1" applyAlignment="1">
      <alignment horizontal="center" vertical="center" wrapText="1"/>
    </xf>
    <xf numFmtId="0" fontId="30" fillId="0" borderId="0" xfId="0" applyFont="1" applyAlignment="1"/>
    <xf numFmtId="0" fontId="31" fillId="9" borderId="2" xfId="0" applyFont="1" applyFill="1" applyBorder="1" applyAlignment="1">
      <alignment horizontal="center" vertical="center" wrapText="1"/>
    </xf>
    <xf numFmtId="0" fontId="32" fillId="14" borderId="2" xfId="0" applyFont="1" applyFill="1" applyBorder="1" applyAlignment="1">
      <alignment horizontal="left" vertical="center" wrapText="1"/>
    </xf>
    <xf numFmtId="0" fontId="33" fillId="4" borderId="2" xfId="0" applyFont="1" applyFill="1" applyBorder="1" applyAlignment="1">
      <alignment horizontal="left" vertical="center"/>
    </xf>
    <xf numFmtId="0" fontId="33" fillId="4" borderId="2" xfId="0" applyFont="1" applyFill="1" applyBorder="1" applyAlignment="1">
      <alignment horizontal="center" vertical="center" wrapText="1"/>
    </xf>
    <xf numFmtId="0" fontId="34" fillId="5" borderId="2" xfId="0" applyFont="1" applyFill="1" applyBorder="1" applyAlignment="1">
      <alignment horizontal="left" vertical="center" wrapText="1"/>
    </xf>
    <xf numFmtId="0" fontId="35" fillId="13" borderId="2" xfId="0" applyFont="1" applyFill="1" applyBorder="1" applyAlignment="1">
      <alignment horizontal="left" vertical="center"/>
    </xf>
    <xf numFmtId="0" fontId="35" fillId="13" borderId="2" xfId="0" applyFont="1" applyFill="1" applyBorder="1" applyAlignment="1">
      <alignment horizontal="center" vertical="center" wrapText="1"/>
    </xf>
    <xf numFmtId="0" fontId="36" fillId="15" borderId="2" xfId="0" applyFont="1" applyFill="1" applyBorder="1" applyAlignment="1">
      <alignment horizontal="left" vertical="center" wrapText="1"/>
    </xf>
    <xf numFmtId="0" fontId="37" fillId="7" borderId="2" xfId="0" applyFont="1" applyFill="1" applyBorder="1" applyAlignment="1">
      <alignment horizontal="left" vertical="center"/>
    </xf>
    <xf numFmtId="0" fontId="37" fillId="7" borderId="2" xfId="0" applyFont="1" applyFill="1" applyBorder="1" applyAlignment="1">
      <alignment horizontal="center" vertical="center" wrapText="1"/>
    </xf>
    <xf numFmtId="0" fontId="38" fillId="16" borderId="2" xfId="0" applyFont="1" applyFill="1" applyBorder="1" applyAlignment="1">
      <alignment horizontal="center" vertical="center" wrapText="1"/>
    </xf>
    <xf numFmtId="0" fontId="32" fillId="14" borderId="2" xfId="0" applyFont="1" applyFill="1" applyBorder="1" applyAlignment="1">
      <alignment horizontal="center" vertical="center" wrapText="1"/>
    </xf>
    <xf numFmtId="0" fontId="34" fillId="5" borderId="2" xfId="0" applyFont="1" applyFill="1" applyBorder="1" applyAlignment="1">
      <alignment horizontal="center" vertical="center" wrapText="1"/>
    </xf>
    <xf numFmtId="0" fontId="36" fillId="15" borderId="2" xfId="0" applyFont="1" applyFill="1" applyBorder="1" applyAlignment="1">
      <alignment horizontal="center" vertical="center" wrapText="1"/>
    </xf>
    <xf numFmtId="0" fontId="39" fillId="16" borderId="2" xfId="0" applyFont="1" applyFill="1" applyBorder="1" applyAlignment="1">
      <alignment horizontal="center" vertical="center" wrapText="1"/>
    </xf>
    <xf numFmtId="0" fontId="40" fillId="9" borderId="0" xfId="0" applyFont="1" applyFill="1" applyBorder="1" applyAlignment="1">
      <alignment horizontal="center" vertical="center" wrapText="1"/>
    </xf>
    <xf numFmtId="0" fontId="41" fillId="0" borderId="2" xfId="0" applyFont="1" applyBorder="1" applyAlignment="1">
      <alignment horizontal="left" vertical="center"/>
    </xf>
    <xf numFmtId="180" fontId="42" fillId="0" borderId="2" xfId="0" applyNumberFormat="1" applyFont="1" applyBorder="1" applyAlignment="1">
      <alignment horizontal="center" vertical="center" wrapText="1"/>
    </xf>
    <xf numFmtId="0" fontId="43" fillId="0" borderId="2" xfId="0" applyFont="1" applyBorder="1" applyAlignment="1">
      <alignment horizontal="center" vertical="center" wrapText="1"/>
    </xf>
    <xf numFmtId="0" fontId="42" fillId="0" borderId="2" xfId="0" applyFont="1" applyBorder="1" applyAlignment="1">
      <alignment horizontal="center" vertical="center" wrapText="1"/>
    </xf>
    <xf numFmtId="0" fontId="38" fillId="13" borderId="2" xfId="0" applyFont="1" applyFill="1" applyBorder="1" applyAlignment="1">
      <alignment horizontal="left" vertical="center"/>
    </xf>
    <xf numFmtId="180" fontId="44" fillId="13" borderId="2" xfId="0" applyNumberFormat="1" applyFont="1" applyFill="1" applyBorder="1" applyAlignment="1">
      <alignment horizontal="center" vertical="center" wrapText="1"/>
    </xf>
    <xf numFmtId="0" fontId="38" fillId="13" borderId="2" xfId="0" applyFont="1" applyFill="1" applyBorder="1" applyAlignment="1">
      <alignment horizontal="center" vertical="center" wrapText="1"/>
    </xf>
    <xf numFmtId="181" fontId="45" fillId="6" borderId="2" xfId="0" applyNumberFormat="1" applyFont="1" applyFill="1" applyBorder="1" applyAlignment="1">
      <alignment horizontal="right" vertical="center"/>
    </xf>
    <xf numFmtId="181" fontId="42" fillId="0" borderId="2" xfId="0" applyNumberFormat="1" applyFont="1" applyBorder="1" applyAlignment="1">
      <alignment horizontal="right" vertical="center"/>
    </xf>
    <xf numFmtId="181" fontId="38" fillId="0" borderId="2" xfId="0" applyNumberFormat="1" applyFont="1" applyBorder="1" applyAlignment="1">
      <alignment horizontal="right" vertical="center"/>
    </xf>
    <xf numFmtId="0" fontId="38" fillId="4" borderId="2" xfId="0" applyFont="1" applyFill="1" applyBorder="1" applyAlignment="1">
      <alignment horizontal="left" vertical="center"/>
    </xf>
    <xf numFmtId="181" fontId="38" fillId="4" borderId="2" xfId="0" applyNumberFormat="1" applyFont="1" applyFill="1" applyBorder="1" applyAlignment="1">
      <alignment horizontal="right" vertical="center"/>
    </xf>
    <xf numFmtId="0" fontId="46" fillId="0" borderId="2" xfId="0" applyFont="1" applyBorder="1" applyAlignment="1">
      <alignment horizontal="left" vertical="center"/>
    </xf>
    <xf numFmtId="0" fontId="46" fillId="0" borderId="2" xfId="0" applyFont="1" applyBorder="1" applyAlignment="1">
      <alignment horizontal="center" vertical="center" wrapText="1"/>
    </xf>
    <xf numFmtId="182" fontId="46" fillId="0" borderId="2" xfId="0" applyNumberFormat="1" applyFont="1" applyBorder="1" applyAlignment="1">
      <alignment horizontal="center" vertical="center" wrapText="1"/>
    </xf>
    <xf numFmtId="181" fontId="38" fillId="13" borderId="2" xfId="0" applyNumberFormat="1" applyFont="1" applyFill="1" applyBorder="1" applyAlignment="1">
      <alignment horizontal="right" vertical="center"/>
    </xf>
    <xf numFmtId="181" fontId="41" fillId="0" borderId="2" xfId="0" applyNumberFormat="1" applyFont="1" applyBorder="1" applyAlignment="1">
      <alignment horizontal="right" vertical="center"/>
    </xf>
    <xf numFmtId="3" fontId="41" fillId="0" borderId="2" xfId="0" applyNumberFormat="1" applyFont="1" applyBorder="1" applyAlignment="1">
      <alignment horizontal="right" vertical="center"/>
    </xf>
    <xf numFmtId="183" fontId="38" fillId="4" borderId="2" xfId="0" applyNumberFormat="1" applyFont="1" applyFill="1" applyBorder="1" applyAlignment="1">
      <alignment horizontal="right" vertical="center"/>
    </xf>
    <xf numFmtId="0" fontId="35" fillId="0" borderId="0" xfId="0" applyFont="1" applyAlignment="1">
      <alignment horizontal="center" vertical="center" wrapText="1"/>
    </xf>
    <xf numFmtId="184" fontId="36" fillId="15" borderId="2" xfId="0" applyNumberFormat="1" applyFont="1" applyFill="1" applyBorder="1" applyAlignment="1">
      <alignment horizontal="center" vertical="center" wrapText="1"/>
    </xf>
    <xf numFmtId="184" fontId="39" fillId="5" borderId="2" xfId="0" applyNumberFormat="1" applyFont="1" applyFill="1" applyBorder="1" applyAlignment="1">
      <alignment horizontal="center" vertical="center" wrapText="1"/>
    </xf>
    <xf numFmtId="0" fontId="47" fillId="0" borderId="0" xfId="0" applyFont="1" applyBorder="1" applyAlignment="1">
      <alignment horizontal="center" vertical="center" wrapText="1"/>
    </xf>
    <xf numFmtId="0" fontId="48" fillId="0" borderId="0" xfId="0" applyFont="1" applyBorder="1" applyAlignment="1">
      <alignment horizontal="center" vertical="center" wrapText="1"/>
    </xf>
    <xf numFmtId="0" fontId="49" fillId="0" borderId="0" xfId="0" applyFont="1" applyAlignment="1"/>
    <xf numFmtId="0" fontId="40" fillId="9" borderId="2" xfId="0" applyFont="1" applyFill="1" applyBorder="1" applyAlignment="1">
      <alignment horizontal="center" vertical="center" wrapText="1"/>
    </xf>
    <xf numFmtId="0" fontId="40" fillId="3" borderId="0" xfId="0" applyFont="1" applyFill="1" applyAlignment="1">
      <alignment horizontal="left" vertical="center"/>
    </xf>
    <xf numFmtId="0" fontId="0" fillId="3" borderId="0" xfId="0" applyFill="1" applyAlignment="1"/>
    <xf numFmtId="0" fontId="41" fillId="0" borderId="2" xfId="0" applyFont="1" applyBorder="1" applyAlignment="1">
      <alignment horizontal="right" vertical="center"/>
    </xf>
    <xf numFmtId="0" fontId="50" fillId="0" borderId="2" xfId="0" applyFont="1" applyBorder="1" applyAlignment="1">
      <alignment horizontal="right" vertical="center"/>
    </xf>
    <xf numFmtId="0" fontId="40" fillId="3" borderId="2" xfId="0" applyFont="1" applyFill="1" applyBorder="1" applyAlignment="1">
      <alignment horizontal="left" vertical="center"/>
    </xf>
    <xf numFmtId="0" fontId="0" fillId="3" borderId="2" xfId="0" applyFill="1" applyBorder="1" applyAlignment="1">
      <alignment horizontal="right" vertical="center"/>
    </xf>
    <xf numFmtId="181" fontId="38" fillId="4" borderId="4" xfId="0" applyNumberFormat="1" applyFont="1" applyFill="1" applyBorder="1" applyAlignment="1">
      <alignment horizontal="right" vertical="center"/>
    </xf>
    <xf numFmtId="0" fontId="38" fillId="16" borderId="2" xfId="0" applyFont="1" applyFill="1" applyBorder="1" applyAlignment="1">
      <alignment horizontal="left" vertical="center"/>
    </xf>
    <xf numFmtId="181" fontId="38" fillId="16" borderId="4" xfId="0" applyNumberFormat="1" applyFont="1" applyFill="1" applyBorder="1" applyAlignment="1">
      <alignment horizontal="right" vertical="center"/>
    </xf>
    <xf numFmtId="180" fontId="46" fillId="0" borderId="2" xfId="0" applyNumberFormat="1" applyFont="1" applyBorder="1" applyAlignment="1">
      <alignment horizontal="right" vertical="center"/>
    </xf>
    <xf numFmtId="0" fontId="40" fillId="9" borderId="2" xfId="0" applyFont="1" applyFill="1" applyBorder="1" applyAlignment="1">
      <alignment horizontal="left" vertical="center"/>
    </xf>
    <xf numFmtId="0" fontId="0" fillId="9" borderId="2" xfId="0" applyFill="1" applyBorder="1" applyAlignment="1">
      <alignment horizontal="right" vertical="center"/>
    </xf>
    <xf numFmtId="0" fontId="38" fillId="6" borderId="2" xfId="0" applyFont="1" applyFill="1" applyBorder="1" applyAlignment="1">
      <alignment horizontal="left" vertical="center"/>
    </xf>
    <xf numFmtId="181" fontId="38" fillId="6" borderId="2" xfId="0" applyNumberFormat="1" applyFont="1" applyFill="1" applyBorder="1" applyAlignment="1">
      <alignment horizontal="right" vertical="center"/>
    </xf>
    <xf numFmtId="0" fontId="0" fillId="6" borderId="2" xfId="0" applyFill="1" applyBorder="1" applyAlignment="1">
      <alignment horizontal="right" vertical="center"/>
    </xf>
    <xf numFmtId="0" fontId="2" fillId="0" borderId="0" xfId="0" applyFont="1" applyAlignment="1"/>
    <xf numFmtId="0" fontId="49" fillId="0" borderId="0" xfId="0" applyFont="1" applyAlignment="1">
      <alignment horizontal="left" vertical="center"/>
    </xf>
    <xf numFmtId="181" fontId="38" fillId="16" borderId="2" xfId="0" applyNumberFormat="1" applyFont="1" applyFill="1" applyBorder="1" applyAlignment="1">
      <alignment horizontal="right" vertical="center"/>
    </xf>
    <xf numFmtId="181" fontId="45" fillId="0" borderId="2" xfId="0" applyNumberFormat="1" applyFont="1" applyBorder="1" applyAlignment="1">
      <alignment horizontal="right" vertical="center"/>
    </xf>
    <xf numFmtId="0" fontId="46" fillId="0" borderId="2" xfId="0" applyFont="1" applyBorder="1" applyAlignment="1">
      <alignment horizontal="right" vertical="center"/>
    </xf>
    <xf numFmtId="0" fontId="30" fillId="0" borderId="0" xfId="0" applyFont="1" applyBorder="1" applyAlignment="1">
      <alignment horizontal="left" vertical="center"/>
    </xf>
    <xf numFmtId="180" fontId="45" fillId="6" borderId="2" xfId="0" applyNumberFormat="1" applyFont="1" applyFill="1" applyBorder="1" applyAlignment="1">
      <alignment horizontal="center" vertical="center" wrapText="1"/>
    </xf>
    <xf numFmtId="180" fontId="41" fillId="0" borderId="2" xfId="0" applyNumberFormat="1" applyFont="1" applyBorder="1" applyAlignment="1">
      <alignment horizontal="center" vertical="center" wrapText="1"/>
    </xf>
    <xf numFmtId="185" fontId="45" fillId="6" borderId="2" xfId="0" applyNumberFormat="1" applyFont="1" applyFill="1" applyBorder="1" applyAlignment="1">
      <alignment horizontal="center" vertical="center" wrapText="1"/>
    </xf>
    <xf numFmtId="0" fontId="2" fillId="0" borderId="0" xfId="0" applyFont="1" applyAlignment="1">
      <alignment horizontal="left" vertical="center"/>
    </xf>
    <xf numFmtId="2" fontId="45" fillId="6" borderId="2" xfId="0" applyNumberFormat="1" applyFont="1" applyFill="1" applyBorder="1" applyAlignment="1">
      <alignment horizontal="center" vertical="center" wrapText="1"/>
    </xf>
    <xf numFmtId="180" fontId="0" fillId="0" borderId="2" xfId="0" applyNumberFormat="1" applyBorder="1" applyAlignment="1">
      <alignment horizontal="center" vertical="center" wrapText="1"/>
    </xf>
    <xf numFmtId="3" fontId="45" fillId="6" borderId="2" xfId="0" applyNumberFormat="1" applyFont="1" applyFill="1" applyBorder="1" applyAlignment="1">
      <alignment horizontal="center" vertical="center" wrapText="1"/>
    </xf>
    <xf numFmtId="0" fontId="51" fillId="3" borderId="0" xfId="0" applyFont="1" applyFill="1" applyBorder="1" applyAlignment="1">
      <alignment horizontal="center" vertical="center" wrapText="1"/>
    </xf>
    <xf numFmtId="0" fontId="52" fillId="3" borderId="0" xfId="0" applyFont="1" applyFill="1" applyBorder="1" applyAlignment="1">
      <alignment horizontal="center" vertical="center" wrapText="1"/>
    </xf>
    <xf numFmtId="0" fontId="53" fillId="3" borderId="0" xfId="0" applyFont="1" applyFill="1" applyBorder="1" applyAlignment="1">
      <alignment horizontal="center" vertical="center" wrapText="1"/>
    </xf>
    <xf numFmtId="0" fontId="0" fillId="9" borderId="0" xfId="0" applyFill="1" applyBorder="1" applyAlignment="1"/>
    <xf numFmtId="0" fontId="54" fillId="3" borderId="0" xfId="0" applyFont="1" applyFill="1" applyAlignment="1">
      <alignment horizontal="left" vertical="center"/>
    </xf>
    <xf numFmtId="0" fontId="55" fillId="3" borderId="0" xfId="0" applyFont="1" applyFill="1" applyAlignment="1">
      <alignment horizontal="left" vertical="center"/>
    </xf>
    <xf numFmtId="0" fontId="56" fillId="3" borderId="0" xfId="0" applyFont="1" applyFill="1" applyBorder="1" applyAlignment="1">
      <alignment horizontal="left" vertical="center"/>
    </xf>
    <xf numFmtId="0" fontId="57" fillId="3" borderId="0" xfId="0" applyFont="1" applyFill="1" applyAlignment="1">
      <alignment horizontal="left" vertical="center"/>
    </xf>
    <xf numFmtId="0" fontId="58" fillId="3" borderId="0" xfId="0" applyFont="1" applyFill="1" applyAlignment="1">
      <alignment horizontal="left" vertical="center"/>
    </xf>
    <xf numFmtId="0" fontId="50" fillId="3" borderId="0"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ont>
        <name val="Arial"/>
        <scheme val="none"/>
        <charset val="1"/>
        <family val="0"/>
        <b val="1"/>
        <i val="0"/>
        <strike val="0"/>
        <u val="none"/>
        <sz val="10"/>
        <color rgb="FF1F3864"/>
      </font>
      <fill>
        <patternFill patternType="solid">
          <fgColor rgb="FFF9F9F9"/>
          <bgColor rgb="FFFFFFFF"/>
        </patternFill>
      </fill>
      <alignment horizontal="left" vertical="top" wrapText="1"/>
      <border>
        <left style="thin">
          <color rgb="FFBFBFBF"/>
        </left>
        <right style="thin">
          <color rgb="FFBFBFBF"/>
        </right>
        <top style="thin">
          <color rgb="FFBFBFBF"/>
        </top>
        <bottom style="thin">
          <color rgb="FFBFBFBF"/>
        </bottom>
        <diagonal/>
      </border>
    </dxf>
    <dxf>
      <font>
        <name val="Arial"/>
        <scheme val="none"/>
        <charset val="1"/>
        <family val="0"/>
        <b val="0"/>
        <i val="0"/>
        <strike val="0"/>
        <u val="none"/>
        <sz val="9"/>
        <color rgb="FF333333"/>
      </font>
      <fill>
        <patternFill patternType="solid">
          <fgColor rgb="FFF9F9F9"/>
          <bgColor rgb="FFFFFFFF"/>
        </patternFill>
      </fill>
      <alignment horizontal="left" vertical="top" wrapText="1"/>
      <border>
        <left style="thin">
          <color rgb="FFBFBFBF"/>
        </left>
        <right style="thin">
          <color rgb="FFBFBFBF"/>
        </right>
        <top style="thin">
          <color rgb="FFBFBFBF"/>
        </top>
        <bottom style="thin">
          <color rgb="FFBFBFBF"/>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9C0006"/>
      <rgbColor rgb="00008000"/>
      <rgbColor rgb="00F5F7FA"/>
      <rgbColor rgb="0086A24C"/>
      <rgbColor rgb="007030A0"/>
      <rgbColor rgb="003B7DA5"/>
      <rgbColor rgb="00BFBFBF"/>
      <rgbColor rgb="00878787"/>
      <rgbColor rgb="008DACCE"/>
      <rgbColor rgb="00953B38"/>
      <rgbColor rgb="00FFF2CC"/>
      <rgbColor rgb="00DEEAF1"/>
      <rgbColor rgb="00C77978"/>
      <rgbColor rgb="00F5A574"/>
      <rgbColor rgb="001F6AA5"/>
      <rgbColor rgb="00BDD7EE"/>
      <rgbColor rgb="00F9F9F9"/>
      <rgbColor rgb="00D09493"/>
      <rgbColor rgb="00A9C37E"/>
      <rgbColor rgb="00CCCCCC"/>
      <rgbColor rgb="00C07332"/>
      <rgbColor rgb="00C55A11"/>
      <rgbColor rgb="00555555"/>
      <rgbColor rgb="00F2F2F2"/>
      <rgbColor rgb="0070AD47"/>
      <rgbColor rgb="00E2EFDA"/>
      <rgbColor rgb="00C6EFCE"/>
      <rgbColor rgb="00FCE4D6"/>
      <rgbColor rgb="00B0BED7"/>
      <rgbColor rgb="00D9B0B0"/>
      <rgbColor rgb="00A99BBD"/>
      <rgbColor rgb="00FFC7CE"/>
      <rgbColor rgb="002E75B6"/>
      <rgbColor rgb="007997C4"/>
      <rgbColor rgb="008EAD4F"/>
      <rgbColor rgb="00DC853E"/>
      <rgbColor rgb="00E5883B"/>
      <rgbColor rgb="00ED7D31"/>
      <rgbColor rgb="0070578D"/>
      <rgbColor rgb="00888888"/>
      <rgbColor rgb="001F3864"/>
      <rgbColor rgb="00429AB1"/>
      <rgbColor rgb="00666666"/>
      <rgbColor rgb="00276221"/>
      <rgbColor rgb="00B24543"/>
      <rgbColor rgb="00AB4744"/>
      <rgbColor rgb="002F5496"/>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Revenue Trend ($mm)</a:t>
            </a:r>
            <a:endParaRPr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spPr>
            <a:solidFill>
              <a:srgbClr val="2F5496"/>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Dashboard!$C$12</c:f>
              <c:numCache>
                <c:formatCode>General</c:formatCode>
                <c:ptCount val="1"/>
                <c:pt idx="0">
                  <c:v>274515</c:v>
                </c:pt>
              </c:numCache>
            </c:numRef>
          </c:val>
        </c:ser>
        <c:ser>
          <c:idx val="1"/>
          <c:order val="1"/>
          <c:spPr>
            <a:solidFill>
              <a:srgbClr val="AB4744"/>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Dashboard!$D$12</c:f>
              <c:numCache>
                <c:formatCode>General</c:formatCode>
                <c:ptCount val="1"/>
                <c:pt idx="0">
                  <c:v>365817</c:v>
                </c:pt>
              </c:numCache>
            </c:numRef>
          </c:val>
        </c:ser>
        <c:ser>
          <c:idx val="2"/>
          <c:order val="2"/>
          <c:spPr>
            <a:solidFill>
              <a:srgbClr val="8AA64F"/>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Dashboard!$E$12</c:f>
              <c:numCache>
                <c:formatCode>General</c:formatCode>
                <c:ptCount val="1"/>
                <c:pt idx="0">
                  <c:v>394328</c:v>
                </c:pt>
              </c:numCache>
            </c:numRef>
          </c:val>
        </c:ser>
        <c:ser>
          <c:idx val="3"/>
          <c:order val="3"/>
          <c:spPr>
            <a:solidFill>
              <a:srgbClr val="725990"/>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Dashboard!$F$12</c:f>
              <c:numCache>
                <c:formatCode>General</c:formatCode>
                <c:ptCount val="1"/>
                <c:pt idx="0">
                  <c:v>383285</c:v>
                </c:pt>
              </c:numCache>
            </c:numRef>
          </c:val>
        </c:ser>
        <c:ser>
          <c:idx val="4"/>
          <c:order val="4"/>
          <c:spPr>
            <a:solidFill>
              <a:srgbClr val="4299B0"/>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Dashboard!$G$12</c:f>
              <c:numCache>
                <c:formatCode>General</c:formatCode>
                <c:ptCount val="1"/>
                <c:pt idx="0">
                  <c:v>391035</c:v>
                </c:pt>
              </c:numCache>
            </c:numRef>
          </c:val>
        </c:ser>
        <c:ser>
          <c:idx val="5"/>
          <c:order val="5"/>
          <c:spPr>
            <a:solidFill>
              <a:srgbClr val="DC853E"/>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Dashboard!$H$12</c:f>
              <c:numCache>
                <c:formatCode>General</c:formatCode>
                <c:ptCount val="1"/>
                <c:pt idx="0">
                  <c:v>415000</c:v>
                </c:pt>
              </c:numCache>
            </c:numRef>
          </c:val>
        </c:ser>
        <c:ser>
          <c:idx val="6"/>
          <c:order val="6"/>
          <c:spPr>
            <a:solidFill>
              <a:srgbClr val="93A9CE"/>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Dashboard!$I$12</c:f>
              <c:numCache>
                <c:formatCode>General</c:formatCode>
                <c:ptCount val="1"/>
                <c:pt idx="0">
                  <c:v>445000</c:v>
                </c:pt>
              </c:numCache>
            </c:numRef>
          </c:val>
        </c:ser>
        <c:ser>
          <c:idx val="7"/>
          <c:order val="7"/>
          <c:spPr>
            <a:solidFill>
              <a:srgbClr val="D09493"/>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Dashboard!$J$12</c:f>
              <c:numCache>
                <c:formatCode>General</c:formatCode>
                <c:ptCount val="1"/>
                <c:pt idx="0">
                  <c:v>475000</c:v>
                </c:pt>
              </c:numCache>
            </c:numRef>
          </c:val>
        </c:ser>
        <c:ser>
          <c:idx val="8"/>
          <c:order val="8"/>
          <c:spPr>
            <a:solidFill>
              <a:srgbClr val="B8CD97"/>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Dashboard!$K$12</c:f>
              <c:numCache>
                <c:formatCode>General</c:formatCode>
                <c:ptCount val="1"/>
                <c:pt idx="0">
                  <c:v>510000</c:v>
                </c:pt>
              </c:numCache>
            </c:numRef>
          </c:val>
        </c:ser>
        <c:ser>
          <c:idx val="9"/>
          <c:order val="9"/>
          <c:spPr>
            <a:solidFill>
              <a:srgbClr val="A99BBD"/>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Dashboard!$L$12</c:f>
              <c:numCache>
                <c:formatCode>General</c:formatCode>
                <c:ptCount val="1"/>
                <c:pt idx="0">
                  <c:v>545000</c:v>
                </c:pt>
              </c:numCache>
            </c:numRef>
          </c:val>
        </c:ser>
        <c:dLbls>
          <c:showLegendKey val="0"/>
          <c:showVal val="0"/>
          <c:showCatName val="0"/>
          <c:showSerName val="0"/>
          <c:showPercent val="0"/>
          <c:showBubbleSize val="1"/>
        </c:dLbls>
        <c:gapWidth val="150"/>
        <c:overlap val="0"/>
        <c:axId val="81505434"/>
        <c:axId val="67903462"/>
      </c:barChart>
      <c:catAx>
        <c:axId val="81505434"/>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67903462"/>
        <c:crosses val="autoZero"/>
        <c:auto val="1"/>
        <c:lblAlgn val="ctr"/>
        <c:lblOffset val="100"/>
        <c:noMultiLvlLbl val="0"/>
      </c:catAx>
      <c:valAx>
        <c:axId val="67903462"/>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$mm</a:t>
                </a:r>
                <a:endParaRPr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81505434"/>
        <c:crosses val="autoZero"/>
        <c:crossBetween val="between"/>
      </c:valAx>
      <c:spPr>
        <a:noFill/>
        <a:ln w="0">
          <a:noFill/>
        </a:ln>
      </c:spPr>
    </c:plotArea>
    <c:plotVisOnly val="1"/>
    <c:dispBlanksAs val="gap"/>
    <c:showDLblsOverMax val="0"/>
    <c:extLst>
      <c:ext uri="{0b15fc19-7d7d-44ad-8c2d-2c3a37ce22c3}">
        <chartProps xmlns="https://web.wps.cn/et/2018/main" chartId="{af6a3142-77b3-4527-af06-afd3a5d22cca}"/>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Net Income Trend ($mm)</a:t>
            </a:r>
            <a:endParaRPr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spPr>
            <a:solidFill>
              <a:srgbClr val="2E75B6"/>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Dashboard!$C$13</c:f>
              <c:numCache>
                <c:formatCode>General</c:formatCode>
                <c:ptCount val="1"/>
                <c:pt idx="0">
                  <c:v>57411</c:v>
                </c:pt>
              </c:numCache>
            </c:numRef>
          </c:val>
        </c:ser>
        <c:ser>
          <c:idx val="1"/>
          <c:order val="1"/>
          <c:spPr>
            <a:solidFill>
              <a:srgbClr val="AB4744"/>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Dashboard!$D$13</c:f>
              <c:numCache>
                <c:formatCode>General</c:formatCode>
                <c:ptCount val="1"/>
                <c:pt idx="0">
                  <c:v>94680</c:v>
                </c:pt>
              </c:numCache>
            </c:numRef>
          </c:val>
        </c:ser>
        <c:ser>
          <c:idx val="2"/>
          <c:order val="2"/>
          <c:spPr>
            <a:solidFill>
              <a:srgbClr val="8AA64F"/>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Dashboard!$E$13</c:f>
              <c:numCache>
                <c:formatCode>General</c:formatCode>
                <c:ptCount val="1"/>
                <c:pt idx="0">
                  <c:v>99803</c:v>
                </c:pt>
              </c:numCache>
            </c:numRef>
          </c:val>
        </c:ser>
        <c:ser>
          <c:idx val="3"/>
          <c:order val="3"/>
          <c:spPr>
            <a:solidFill>
              <a:srgbClr val="725990"/>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Dashboard!$F$13</c:f>
              <c:numCache>
                <c:formatCode>General</c:formatCode>
                <c:ptCount val="1"/>
                <c:pt idx="0">
                  <c:v>96995</c:v>
                </c:pt>
              </c:numCache>
            </c:numRef>
          </c:val>
        </c:ser>
        <c:ser>
          <c:idx val="4"/>
          <c:order val="4"/>
          <c:spPr>
            <a:solidFill>
              <a:srgbClr val="4299B0"/>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Dashboard!$G$13</c:f>
              <c:numCache>
                <c:formatCode>General</c:formatCode>
                <c:ptCount val="1"/>
                <c:pt idx="0">
                  <c:v>93736</c:v>
                </c:pt>
              </c:numCache>
            </c:numRef>
          </c:val>
        </c:ser>
        <c:ser>
          <c:idx val="5"/>
          <c:order val="5"/>
          <c:spPr>
            <a:solidFill>
              <a:srgbClr val="DC853E"/>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Dashboard!$H$13</c:f>
              <c:numCache>
                <c:formatCode>General</c:formatCode>
                <c:ptCount val="1"/>
                <c:pt idx="0">
                  <c:v>97000</c:v>
                </c:pt>
              </c:numCache>
            </c:numRef>
          </c:val>
        </c:ser>
        <c:ser>
          <c:idx val="6"/>
          <c:order val="6"/>
          <c:spPr>
            <a:solidFill>
              <a:srgbClr val="93A9CE"/>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Dashboard!$I$13</c:f>
              <c:numCache>
                <c:formatCode>General</c:formatCode>
                <c:ptCount val="1"/>
                <c:pt idx="0">
                  <c:v>104000</c:v>
                </c:pt>
              </c:numCache>
            </c:numRef>
          </c:val>
        </c:ser>
        <c:ser>
          <c:idx val="7"/>
          <c:order val="7"/>
          <c:spPr>
            <a:solidFill>
              <a:srgbClr val="D09493"/>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Dashboard!$J$13</c:f>
              <c:numCache>
                <c:formatCode>General</c:formatCode>
                <c:ptCount val="1"/>
                <c:pt idx="0">
                  <c:v>112000</c:v>
                </c:pt>
              </c:numCache>
            </c:numRef>
          </c:val>
        </c:ser>
        <c:ser>
          <c:idx val="8"/>
          <c:order val="8"/>
          <c:spPr>
            <a:solidFill>
              <a:srgbClr val="B8CD97"/>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Dashboard!$K$13</c:f>
              <c:numCache>
                <c:formatCode>General</c:formatCode>
                <c:ptCount val="1"/>
                <c:pt idx="0">
                  <c:v>120000</c:v>
                </c:pt>
              </c:numCache>
            </c:numRef>
          </c:val>
        </c:ser>
        <c:ser>
          <c:idx val="9"/>
          <c:order val="9"/>
          <c:spPr>
            <a:solidFill>
              <a:srgbClr val="A99BBD"/>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Dashboard!$L$13</c:f>
              <c:numCache>
                <c:formatCode>General</c:formatCode>
                <c:ptCount val="1"/>
                <c:pt idx="0">
                  <c:v>130000</c:v>
                </c:pt>
              </c:numCache>
            </c:numRef>
          </c:val>
        </c:ser>
        <c:dLbls>
          <c:showLegendKey val="0"/>
          <c:showVal val="0"/>
          <c:showCatName val="0"/>
          <c:showSerName val="0"/>
          <c:showPercent val="0"/>
          <c:showBubbleSize val="1"/>
        </c:dLbls>
        <c:gapWidth val="150"/>
        <c:overlap val="0"/>
        <c:axId val="55239041"/>
        <c:axId val="23202240"/>
      </c:barChart>
      <c:catAx>
        <c:axId val="55239041"/>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23202240"/>
        <c:crosses val="autoZero"/>
        <c:auto val="1"/>
        <c:lblAlgn val="ctr"/>
        <c:lblOffset val="100"/>
        <c:noMultiLvlLbl val="0"/>
      </c:catAx>
      <c:valAx>
        <c:axId val="23202240"/>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$mm</a:t>
                </a:r>
                <a:endParaRPr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55239041"/>
        <c:crosses val="autoZero"/>
        <c:crossBetween val="between"/>
      </c:valAx>
      <c:spPr>
        <a:noFill/>
        <a:ln w="0">
          <a:noFill/>
        </a:ln>
      </c:spPr>
    </c:plotArea>
    <c:plotVisOnly val="1"/>
    <c:dispBlanksAs val="gap"/>
    <c:showDLblsOverMax val="0"/>
    <c:extLst>
      <c:ext uri="{0b15fc19-7d7d-44ad-8c2d-2c3a37ce22c3}">
        <chartProps xmlns="https://web.wps.cn/et/2018/main" chartId="{d666c456-5403-43e4-9090-f3b33984f8aa}"/>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FCF &amp; EBITDA Trend ($mm)</a:t>
            </a:r>
            <a:endParaRPr sz="1800" b="1" strike="noStrike" spc="-1">
              <a:solidFill>
                <a:srgbClr val="000000"/>
              </a:solidFill>
              <a:latin typeface="Calibri" panose="020F0502020204030204"/>
            </a:endParaRPr>
          </a:p>
        </c:rich>
      </c:tx>
      <c:layout/>
      <c:overlay val="0"/>
      <c:spPr>
        <a:noFill/>
        <a:ln w="0">
          <a:noFill/>
        </a:ln>
      </c:spPr>
    </c:title>
    <c:autoTitleDeleted val="0"/>
    <c:plotArea>
      <c:layout/>
      <c:lineChart>
        <c:grouping val="standard"/>
        <c:varyColors val="0"/>
        <c:ser>
          <c:idx val="0"/>
          <c:order val="0"/>
          <c:spPr>
            <a:ln w="47520" cap="rnd" cmpd="sng" algn="ctr">
              <a:solidFill>
                <a:srgbClr val="3A6293"/>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Dashboard!$C$14</c:f>
              <c:numCache>
                <c:formatCode>General</c:formatCode>
                <c:ptCount val="1"/>
                <c:pt idx="0">
                  <c:v>73365</c:v>
                </c:pt>
              </c:numCache>
            </c:numRef>
          </c:val>
          <c:smooth val="1"/>
        </c:ser>
        <c:ser>
          <c:idx val="1"/>
          <c:order val="1"/>
          <c:spPr>
            <a:ln w="47520" cap="rnd" cmpd="sng" algn="ctr">
              <a:solidFill>
                <a:srgbClr val="953B38"/>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Dashboard!$D$14</c:f>
              <c:numCache>
                <c:formatCode>General</c:formatCode>
                <c:ptCount val="1"/>
                <c:pt idx="0">
                  <c:v>92953</c:v>
                </c:pt>
              </c:numCache>
            </c:numRef>
          </c:val>
          <c:smooth val="1"/>
        </c:ser>
        <c:ser>
          <c:idx val="2"/>
          <c:order val="2"/>
          <c:spPr>
            <a:ln w="47520" cap="rnd" cmpd="sng" algn="ctr">
              <a:solidFill>
                <a:srgbClr val="789142"/>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Dashboard!$E$14</c:f>
              <c:numCache>
                <c:formatCode>General</c:formatCode>
                <c:ptCount val="1"/>
                <c:pt idx="0">
                  <c:v>111443</c:v>
                </c:pt>
              </c:numCache>
            </c:numRef>
          </c:val>
          <c:smooth val="1"/>
        </c:ser>
        <c:ser>
          <c:idx val="3"/>
          <c:order val="3"/>
          <c:spPr>
            <a:ln w="47520" cap="rnd" cmpd="sng" algn="ctr">
              <a:solidFill>
                <a:srgbClr val="624B7D"/>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Dashboard!$F$14</c:f>
              <c:numCache>
                <c:formatCode>General</c:formatCode>
                <c:ptCount val="1"/>
                <c:pt idx="0">
                  <c:v>99584</c:v>
                </c:pt>
              </c:numCache>
            </c:numRef>
          </c:val>
          <c:smooth val="1"/>
        </c:ser>
        <c:ser>
          <c:idx val="4"/>
          <c:order val="4"/>
          <c:spPr>
            <a:ln w="47520" cap="rnd" cmpd="sng" algn="ctr">
              <a:solidFill>
                <a:srgbClr val="37859A"/>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Dashboard!$G$14</c:f>
              <c:numCache>
                <c:formatCode>General</c:formatCode>
                <c:ptCount val="1"/>
                <c:pt idx="0">
                  <c:v>108807</c:v>
                </c:pt>
              </c:numCache>
            </c:numRef>
          </c:val>
          <c:smooth val="1"/>
        </c:ser>
        <c:ser>
          <c:idx val="5"/>
          <c:order val="5"/>
          <c:spPr>
            <a:ln w="47520" cap="rnd" cmpd="sng" algn="ctr">
              <a:solidFill>
                <a:srgbClr val="C07332"/>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Dashboard!$H$14</c:f>
              <c:numCache>
                <c:formatCode>General</c:formatCode>
                <c:ptCount val="1"/>
                <c:pt idx="0">
                  <c:v>120000</c:v>
                </c:pt>
              </c:numCache>
            </c:numRef>
          </c:val>
          <c:smooth val="1"/>
        </c:ser>
        <c:ser>
          <c:idx val="6"/>
          <c:order val="6"/>
          <c:spPr>
            <a:ln w="47520" cap="rnd" cmpd="sng" algn="ctr">
              <a:solidFill>
                <a:srgbClr val="4475B0"/>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Dashboard!$I$14</c:f>
              <c:numCache>
                <c:formatCode>General</c:formatCode>
                <c:ptCount val="1"/>
                <c:pt idx="0">
                  <c:v>130000</c:v>
                </c:pt>
              </c:numCache>
            </c:numRef>
          </c:val>
          <c:smooth val="1"/>
        </c:ser>
        <c:ser>
          <c:idx val="7"/>
          <c:order val="7"/>
          <c:spPr>
            <a:ln w="47520" cap="rnd" cmpd="sng" algn="ctr">
              <a:solidFill>
                <a:srgbClr val="B24543"/>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Dashboard!$J$14</c:f>
              <c:numCache>
                <c:formatCode>General</c:formatCode>
                <c:ptCount val="1"/>
                <c:pt idx="0">
                  <c:v>140000</c:v>
                </c:pt>
              </c:numCache>
            </c:numRef>
          </c:val>
          <c:smooth val="1"/>
        </c:ser>
        <c:ser>
          <c:idx val="8"/>
          <c:order val="8"/>
          <c:spPr>
            <a:ln w="47520" cap="rnd" cmpd="sng" algn="ctr">
              <a:solidFill>
                <a:srgbClr val="8EAD4F"/>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Dashboard!$K$14</c:f>
              <c:numCache>
                <c:formatCode>General</c:formatCode>
                <c:ptCount val="1"/>
                <c:pt idx="0">
                  <c:v>152000</c:v>
                </c:pt>
              </c:numCache>
            </c:numRef>
          </c:val>
          <c:smooth val="1"/>
        </c:ser>
        <c:ser>
          <c:idx val="9"/>
          <c:order val="9"/>
          <c:spPr>
            <a:ln w="47520" cap="rnd" cmpd="sng" algn="ctr">
              <a:solidFill>
                <a:srgbClr val="745994"/>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Dashboard!$L$14</c:f>
              <c:numCache>
                <c:formatCode>General</c:formatCode>
                <c:ptCount val="1"/>
                <c:pt idx="0">
                  <c:v>164000</c:v>
                </c:pt>
              </c:numCache>
            </c:numRef>
          </c:val>
          <c:smooth val="1"/>
        </c:ser>
        <c:ser>
          <c:idx val="10"/>
          <c:order val="10"/>
          <c:spPr>
            <a:ln w="47520" cap="rnd" cmpd="sng" algn="ctr">
              <a:solidFill>
                <a:srgbClr val="419FB7"/>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Dashboard!$C$16</c:f>
              <c:numCache>
                <c:formatCode>General</c:formatCode>
                <c:ptCount val="1"/>
                <c:pt idx="0">
                  <c:v>77344</c:v>
                </c:pt>
              </c:numCache>
            </c:numRef>
          </c:val>
          <c:smooth val="1"/>
        </c:ser>
        <c:ser>
          <c:idx val="11"/>
          <c:order val="11"/>
          <c:spPr>
            <a:ln w="47520" cap="rnd" cmpd="sng" algn="ctr">
              <a:solidFill>
                <a:srgbClr val="E5883B"/>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Dashboard!$D$16</c:f>
              <c:numCache>
                <c:formatCode>General</c:formatCode>
                <c:ptCount val="1"/>
                <c:pt idx="0">
                  <c:v>120233</c:v>
                </c:pt>
              </c:numCache>
            </c:numRef>
          </c:val>
          <c:smooth val="1"/>
        </c:ser>
        <c:ser>
          <c:idx val="12"/>
          <c:order val="12"/>
          <c:spPr>
            <a:ln w="47520" cap="rnd" cmpd="sng" algn="ctr">
              <a:solidFill>
                <a:srgbClr val="7997C4"/>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Dashboard!$E$16</c:f>
              <c:numCache>
                <c:formatCode>General</c:formatCode>
                <c:ptCount val="1"/>
                <c:pt idx="0">
                  <c:v>130541</c:v>
                </c:pt>
              </c:numCache>
            </c:numRef>
          </c:val>
          <c:smooth val="1"/>
        </c:ser>
        <c:ser>
          <c:idx val="13"/>
          <c:order val="13"/>
          <c:spPr>
            <a:ln w="47520" cap="rnd" cmpd="sng" algn="ctr">
              <a:solidFill>
                <a:srgbClr val="C77978"/>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Dashboard!$F$16</c:f>
              <c:numCache>
                <c:formatCode>General</c:formatCode>
                <c:ptCount val="1"/>
                <c:pt idx="0">
                  <c:v>125820</c:v>
                </c:pt>
              </c:numCache>
            </c:numRef>
          </c:val>
          <c:smooth val="1"/>
        </c:ser>
        <c:ser>
          <c:idx val="14"/>
          <c:order val="14"/>
          <c:spPr>
            <a:ln w="47520" cap="rnd" cmpd="sng" algn="ctr">
              <a:solidFill>
                <a:srgbClr val="A9C37E"/>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Dashboard!$G$16</c:f>
              <c:numCache>
                <c:formatCode>General</c:formatCode>
                <c:ptCount val="1"/>
                <c:pt idx="0">
                  <c:v>134661</c:v>
                </c:pt>
              </c:numCache>
            </c:numRef>
          </c:val>
          <c:smooth val="1"/>
        </c:ser>
        <c:ser>
          <c:idx val="15"/>
          <c:order val="15"/>
          <c:spPr>
            <a:ln w="47520" cap="rnd" cmpd="sng" algn="ctr">
              <a:solidFill>
                <a:srgbClr val="9684AF"/>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Dashboard!$H$16</c:f>
              <c:numCache>
                <c:formatCode>General</c:formatCode>
                <c:ptCount val="1"/>
                <c:pt idx="0">
                  <c:v>143000</c:v>
                </c:pt>
              </c:numCache>
            </c:numRef>
          </c:val>
          <c:smooth val="1"/>
        </c:ser>
        <c:ser>
          <c:idx val="16"/>
          <c:order val="16"/>
          <c:spPr>
            <a:ln w="47520" cap="rnd" cmpd="sng" algn="ctr">
              <a:solidFill>
                <a:srgbClr val="77B6CC"/>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Dashboard!$I$16</c:f>
              <c:numCache>
                <c:formatCode>General</c:formatCode>
                <c:ptCount val="1"/>
                <c:pt idx="0">
                  <c:v>154000</c:v>
                </c:pt>
              </c:numCache>
            </c:numRef>
          </c:val>
          <c:smooth val="1"/>
        </c:ser>
        <c:ser>
          <c:idx val="17"/>
          <c:order val="17"/>
          <c:spPr>
            <a:ln w="47520" cap="rnd" cmpd="sng" algn="ctr">
              <a:solidFill>
                <a:srgbClr val="F5A574"/>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Dashboard!$J$16</c:f>
              <c:numCache>
                <c:formatCode>General</c:formatCode>
                <c:ptCount val="1"/>
                <c:pt idx="0">
                  <c:v>165000</c:v>
                </c:pt>
              </c:numCache>
            </c:numRef>
          </c:val>
          <c:smooth val="1"/>
        </c:ser>
        <c:ser>
          <c:idx val="18"/>
          <c:order val="18"/>
          <c:spPr>
            <a:ln w="47520" cap="rnd" cmpd="sng" algn="ctr">
              <a:solidFill>
                <a:srgbClr val="B0BED7"/>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Dashboard!$K$16</c:f>
              <c:numCache>
                <c:formatCode>General</c:formatCode>
                <c:ptCount val="1"/>
                <c:pt idx="0">
                  <c:v>177000</c:v>
                </c:pt>
              </c:numCache>
            </c:numRef>
          </c:val>
          <c:smooth val="1"/>
        </c:ser>
        <c:ser>
          <c:idx val="19"/>
          <c:order val="19"/>
          <c:spPr>
            <a:ln w="47520" cap="rnd" cmpd="sng" algn="ctr">
              <a:solidFill>
                <a:srgbClr val="D9B0B0"/>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Dashboard!$C$11:$L$11</c:f>
              <c:strCache>
                <c:ptCount val="10"/>
                <c:pt idx="0">
                  <c:v>FY2020</c:v>
                </c:pt>
                <c:pt idx="1">
                  <c:v>FY2021</c:v>
                </c:pt>
                <c:pt idx="2">
                  <c:v>FY2022</c:v>
                </c:pt>
                <c:pt idx="3">
                  <c:v>FY2023</c:v>
                </c:pt>
                <c:pt idx="4">
                  <c:v>FY2024</c:v>
                </c:pt>
                <c:pt idx="5">
                  <c:v>FY2025E</c:v>
                </c:pt>
                <c:pt idx="6">
                  <c:v>FY2026E</c:v>
                </c:pt>
                <c:pt idx="7">
                  <c:v>FY2027E</c:v>
                </c:pt>
                <c:pt idx="8">
                  <c:v>FY2028E</c:v>
                </c:pt>
                <c:pt idx="9">
                  <c:v>FY2029E</c:v>
                </c:pt>
              </c:strCache>
            </c:strRef>
          </c:cat>
          <c:val>
            <c:numRef>
              <c:f>Dashboard!$L$16</c:f>
              <c:numCache>
                <c:formatCode>General</c:formatCode>
                <c:ptCount val="1"/>
                <c:pt idx="0">
                  <c:v>190000</c:v>
                </c:pt>
              </c:numCache>
            </c:numRef>
          </c:val>
          <c:smooth val="1"/>
        </c:ser>
        <c:dLbls>
          <c:showLegendKey val="0"/>
          <c:showVal val="0"/>
          <c:showCatName val="0"/>
          <c:showSerName val="0"/>
          <c:showPercent val="0"/>
          <c:showBubbleSize val="1"/>
        </c:dLbls>
        <c:hiLowLines>
          <c:spPr>
            <a:ln w="0" cap="flat" cmpd="sng" algn="ctr">
              <a:noFill/>
              <a:prstDash val="solid"/>
              <a:round/>
            </a:ln>
          </c:spPr>
        </c:hiLowLines>
        <c:marker val="0"/>
        <c:smooth val="1"/>
        <c:axId val="77186720"/>
        <c:axId val="59841776"/>
      </c:lineChart>
      <c:catAx>
        <c:axId val="77186720"/>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59841776"/>
        <c:crosses val="autoZero"/>
        <c:auto val="1"/>
        <c:lblAlgn val="ctr"/>
        <c:lblOffset val="100"/>
        <c:noMultiLvlLbl val="0"/>
      </c:catAx>
      <c:valAx>
        <c:axId val="59841776"/>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$mm</a:t>
                </a:r>
                <a:endParaRPr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77186720"/>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ac64b1ab-e408-4e7d-bbdd-577ba5a4a8a2}"/>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17</xdr:row>
      <xdr:rowOff>0</xdr:rowOff>
    </xdr:from>
    <xdr:to>
      <xdr:col>7</xdr:col>
      <xdr:colOff>719280</xdr:colOff>
      <xdr:row>35</xdr:row>
      <xdr:rowOff>170280</xdr:rowOff>
    </xdr:to>
    <xdr:graphicFrame>
      <xdr:nvGraphicFramePr>
        <xdr:cNvPr id="2" name="Chart 1"/>
        <xdr:cNvGraphicFramePr/>
      </xdr:nvGraphicFramePr>
      <xdr:xfrm>
        <a:off x="103505" y="3686175"/>
        <a:ext cx="5622925" cy="35991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0</xdr:rowOff>
    </xdr:from>
    <xdr:to>
      <xdr:col>12</xdr:col>
      <xdr:colOff>825480</xdr:colOff>
      <xdr:row>35</xdr:row>
      <xdr:rowOff>170280</xdr:rowOff>
    </xdr:to>
    <xdr:graphicFrame>
      <xdr:nvGraphicFramePr>
        <xdr:cNvPr id="3" name="Chart 2"/>
        <xdr:cNvGraphicFramePr/>
      </xdr:nvGraphicFramePr>
      <xdr:xfrm>
        <a:off x="5007610" y="3686175"/>
        <a:ext cx="5625465" cy="35991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0</xdr:rowOff>
    </xdr:from>
    <xdr:to>
      <xdr:col>7</xdr:col>
      <xdr:colOff>719280</xdr:colOff>
      <xdr:row>53</xdr:row>
      <xdr:rowOff>122760</xdr:rowOff>
    </xdr:to>
    <xdr:graphicFrame>
      <xdr:nvGraphicFramePr>
        <xdr:cNvPr id="4" name="Chart 3"/>
        <xdr:cNvGraphicFramePr/>
      </xdr:nvGraphicFramePr>
      <xdr:xfrm>
        <a:off x="103505" y="7496175"/>
        <a:ext cx="5622925" cy="35991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able1" displayName="Table1" ref="C4:D13" totalsRowShown="0">
  <autoFilter xmlns:etc="http://www.wps.cn/officeDocument/2017/etCustomData" ref="C4:D13" etc:filterBottomFollowUsedRange="0"/>
  <tableColumns count="2">
    <tableColumn id="1" name="📈 KEY FINANCIAL FINDINGS" dataDxfId="0"/>
    <tableColumn id="2" name="Column1" dataDxfId="1"/>
  </tableColumns>
  <tableStyleInfo name="TableStylePreset3_Accent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N49"/>
  <sheetViews>
    <sheetView showGridLines="0" zoomScale="55" zoomScaleNormal="55" workbookViewId="0">
      <selection activeCell="Z37" sqref="Z37"/>
    </sheetView>
  </sheetViews>
  <sheetFormatPr defaultColWidth="8.67592592592593" defaultRowHeight="14.4"/>
  <cols>
    <col min="1" max="1" width="3" style="1" customWidth="1"/>
    <col min="2" max="2" width="2" style="1" customWidth="1"/>
    <col min="3" max="3" width="22" style="1" customWidth="1"/>
    <col min="4" max="4" width="2" style="1" customWidth="1"/>
    <col min="5" max="5" width="24" style="1" customWidth="1"/>
    <col min="6" max="7" width="2" style="1" customWidth="1"/>
    <col min="8" max="8" width="30" style="1" customWidth="1"/>
    <col min="9" max="12" width="5" style="1" customWidth="1"/>
  </cols>
  <sheetData>
    <row r="1" ht="9.75" customHeight="1" spans="1:14">
      <c r="A1" s="91"/>
      <c r="B1" s="91"/>
      <c r="C1" s="91"/>
      <c r="D1" s="91"/>
      <c r="E1" s="91"/>
      <c r="F1" s="91"/>
      <c r="G1" s="91"/>
      <c r="H1" s="91"/>
      <c r="I1" s="91"/>
      <c r="J1" s="91"/>
      <c r="K1" s="91"/>
      <c r="L1" s="91"/>
      <c r="M1" s="91"/>
      <c r="N1" s="91"/>
    </row>
    <row r="2" ht="15" customHeight="1" spans="1:14">
      <c r="A2" s="91"/>
      <c r="B2" s="91"/>
      <c r="C2" s="91"/>
      <c r="D2" s="91"/>
      <c r="E2" s="91"/>
      <c r="F2" s="91"/>
      <c r="G2" s="91"/>
      <c r="H2" s="91"/>
      <c r="I2" s="91"/>
      <c r="J2" s="91"/>
      <c r="K2" s="91"/>
      <c r="L2" s="91"/>
      <c r="M2" s="91"/>
      <c r="N2" s="91"/>
    </row>
    <row r="3" ht="33.75" customHeight="1" spans="1:14">
      <c r="A3" s="91"/>
      <c r="B3" s="118" t="s">
        <v>0</v>
      </c>
      <c r="C3" s="118"/>
      <c r="D3" s="118"/>
      <c r="E3" s="118"/>
      <c r="F3" s="118"/>
      <c r="G3" s="118"/>
      <c r="H3" s="118"/>
      <c r="I3" s="118"/>
      <c r="J3" s="118"/>
      <c r="K3" s="118"/>
      <c r="L3" s="118"/>
      <c r="M3" s="91"/>
      <c r="N3" s="91"/>
    </row>
    <row r="4" ht="19.5" customHeight="1" spans="1:14">
      <c r="A4" s="91"/>
      <c r="B4" s="119" t="s">
        <v>1</v>
      </c>
      <c r="C4" s="119"/>
      <c r="D4" s="119"/>
      <c r="E4" s="119"/>
      <c r="F4" s="119"/>
      <c r="G4" s="119"/>
      <c r="H4" s="119"/>
      <c r="I4" s="119"/>
      <c r="J4" s="119"/>
      <c r="K4" s="119"/>
      <c r="L4" s="119"/>
      <c r="M4" s="91"/>
      <c r="N4" s="91"/>
    </row>
    <row r="5" ht="15" customHeight="1" spans="1:14">
      <c r="A5" s="91"/>
      <c r="B5" s="120" t="s">
        <v>2</v>
      </c>
      <c r="C5" s="120"/>
      <c r="D5" s="120"/>
      <c r="E5" s="120"/>
      <c r="F5" s="120"/>
      <c r="G5" s="120"/>
      <c r="H5" s="120"/>
      <c r="I5" s="120"/>
      <c r="J5" s="120"/>
      <c r="K5" s="120"/>
      <c r="L5" s="120"/>
      <c r="M5" s="91"/>
      <c r="N5" s="91"/>
    </row>
    <row r="6" ht="15" customHeight="1" spans="1:14">
      <c r="A6" s="91"/>
      <c r="B6" s="91"/>
      <c r="C6" s="91"/>
      <c r="D6" s="91"/>
      <c r="E6" s="91"/>
      <c r="F6" s="91"/>
      <c r="G6" s="91"/>
      <c r="H6" s="91"/>
      <c r="I6" s="91"/>
      <c r="J6" s="91"/>
      <c r="K6" s="91"/>
      <c r="L6" s="91"/>
      <c r="M6" s="91"/>
      <c r="N6" s="91"/>
    </row>
    <row r="7" ht="3" customHeight="1" spans="1:14">
      <c r="A7" s="91"/>
      <c r="B7" s="121"/>
      <c r="C7" s="121"/>
      <c r="D7" s="121"/>
      <c r="E7" s="121"/>
      <c r="F7" s="121"/>
      <c r="G7" s="121"/>
      <c r="H7" s="121"/>
      <c r="I7" s="121"/>
      <c r="J7" s="121"/>
      <c r="K7" s="121"/>
      <c r="L7" s="121"/>
      <c r="M7" s="91"/>
      <c r="N7" s="91"/>
    </row>
    <row r="8" ht="15" customHeight="1" spans="1:14">
      <c r="A8" s="91"/>
      <c r="B8" s="91"/>
      <c r="C8" s="91"/>
      <c r="D8" s="91"/>
      <c r="E8" s="91"/>
      <c r="F8" s="91"/>
      <c r="G8" s="91"/>
      <c r="H8" s="91"/>
      <c r="I8" s="91"/>
      <c r="J8" s="91"/>
      <c r="K8" s="91"/>
      <c r="L8" s="91"/>
      <c r="M8" s="91"/>
      <c r="N8" s="91"/>
    </row>
    <row r="9" ht="21.75" customHeight="1" spans="1:14">
      <c r="A9" s="91"/>
      <c r="B9" s="91"/>
      <c r="C9" s="122" t="s">
        <v>3</v>
      </c>
      <c r="D9" s="91"/>
      <c r="E9" s="123" t="s">
        <v>4</v>
      </c>
      <c r="F9" s="91"/>
      <c r="G9" s="91"/>
      <c r="H9" s="91"/>
      <c r="I9" s="91"/>
      <c r="J9" s="91"/>
      <c r="K9" s="91"/>
      <c r="L9" s="91"/>
      <c r="M9" s="91"/>
      <c r="N9" s="91"/>
    </row>
    <row r="10" ht="21.75" customHeight="1" spans="1:14">
      <c r="A10" s="91"/>
      <c r="B10" s="91"/>
      <c r="C10" s="122" t="s">
        <v>5</v>
      </c>
      <c r="D10" s="91"/>
      <c r="E10" s="123" t="s">
        <v>6</v>
      </c>
      <c r="F10" s="91"/>
      <c r="G10" s="91"/>
      <c r="H10" s="91"/>
      <c r="I10" s="91"/>
      <c r="J10" s="91"/>
      <c r="K10" s="91"/>
      <c r="L10" s="91"/>
      <c r="M10" s="91"/>
      <c r="N10" s="91"/>
    </row>
    <row r="11" ht="21.75" customHeight="1" spans="1:14">
      <c r="A11" s="91"/>
      <c r="B11" s="91"/>
      <c r="C11" s="122" t="s">
        <v>7</v>
      </c>
      <c r="D11" s="91"/>
      <c r="E11" s="123" t="s">
        <v>8</v>
      </c>
      <c r="F11" s="91"/>
      <c r="G11" s="91"/>
      <c r="H11" s="91"/>
      <c r="I11" s="91"/>
      <c r="J11" s="91"/>
      <c r="K11" s="91"/>
      <c r="L11" s="91"/>
      <c r="M11" s="91"/>
      <c r="N11" s="91"/>
    </row>
    <row r="12" ht="21.75" customHeight="1" spans="1:14">
      <c r="A12" s="91"/>
      <c r="B12" s="91"/>
      <c r="C12" s="122" t="s">
        <v>9</v>
      </c>
      <c r="D12" s="91"/>
      <c r="E12" s="123" t="s">
        <v>10</v>
      </c>
      <c r="F12" s="91"/>
      <c r="G12" s="91"/>
      <c r="H12" s="91"/>
      <c r="I12" s="91"/>
      <c r="J12" s="91"/>
      <c r="K12" s="91"/>
      <c r="L12" s="91"/>
      <c r="M12" s="91"/>
      <c r="N12" s="91"/>
    </row>
    <row r="13" ht="21.75" customHeight="1" spans="1:14">
      <c r="A13" s="91"/>
      <c r="B13" s="91"/>
      <c r="C13" s="122" t="s">
        <v>11</v>
      </c>
      <c r="D13" s="91"/>
      <c r="E13" s="123" t="s">
        <v>12</v>
      </c>
      <c r="F13" s="91"/>
      <c r="G13" s="91"/>
      <c r="H13" s="91"/>
      <c r="I13" s="91"/>
      <c r="J13" s="91"/>
      <c r="K13" s="91"/>
      <c r="L13" s="91"/>
      <c r="M13" s="91"/>
      <c r="N13" s="91"/>
    </row>
    <row r="14" ht="21.75" customHeight="1" spans="1:14">
      <c r="A14" s="91"/>
      <c r="B14" s="91"/>
      <c r="C14" s="122" t="s">
        <v>13</v>
      </c>
      <c r="D14" s="91"/>
      <c r="E14" s="123" t="s">
        <v>14</v>
      </c>
      <c r="F14" s="91"/>
      <c r="G14" s="91"/>
      <c r="H14" s="91"/>
      <c r="I14" s="91"/>
      <c r="J14" s="91"/>
      <c r="K14" s="91"/>
      <c r="L14" s="91"/>
      <c r="M14" s="91"/>
      <c r="N14" s="91"/>
    </row>
    <row r="15" ht="21.75" customHeight="1" spans="1:14">
      <c r="A15" s="91"/>
      <c r="B15" s="91"/>
      <c r="C15" s="122" t="s">
        <v>15</v>
      </c>
      <c r="D15" s="91"/>
      <c r="E15" s="123" t="s">
        <v>16</v>
      </c>
      <c r="F15" s="91"/>
      <c r="G15" s="91"/>
      <c r="H15" s="91"/>
      <c r="I15" s="91"/>
      <c r="J15" s="91"/>
      <c r="K15" s="91"/>
      <c r="L15" s="91"/>
      <c r="M15" s="91"/>
      <c r="N15" s="91"/>
    </row>
    <row r="16" ht="15" customHeight="1" spans="1:14">
      <c r="A16" s="91"/>
      <c r="B16" s="91"/>
      <c r="C16" s="91"/>
      <c r="D16" s="91"/>
      <c r="E16" s="91"/>
      <c r="F16" s="91"/>
      <c r="G16" s="91"/>
      <c r="H16" s="91"/>
      <c r="I16" s="91"/>
      <c r="J16" s="91"/>
      <c r="K16" s="91"/>
      <c r="L16" s="91"/>
      <c r="M16" s="91"/>
      <c r="N16" s="91"/>
    </row>
    <row r="17" ht="15" customHeight="1" spans="1:14">
      <c r="A17" s="91"/>
      <c r="B17" s="91"/>
      <c r="C17" s="91"/>
      <c r="D17" s="91"/>
      <c r="E17" s="91"/>
      <c r="F17" s="91"/>
      <c r="G17" s="91"/>
      <c r="H17" s="91"/>
      <c r="I17" s="91"/>
      <c r="J17" s="91"/>
      <c r="K17" s="91"/>
      <c r="L17" s="91"/>
      <c r="M17" s="91"/>
      <c r="N17" s="91"/>
    </row>
    <row r="18" ht="15" customHeight="1" spans="1:14">
      <c r="A18" s="91"/>
      <c r="B18" s="124" t="s">
        <v>17</v>
      </c>
      <c r="C18" s="124"/>
      <c r="D18" s="124"/>
      <c r="E18" s="124"/>
      <c r="F18" s="124"/>
      <c r="G18" s="124"/>
      <c r="H18" s="124"/>
      <c r="I18" s="124"/>
      <c r="J18" s="124"/>
      <c r="K18" s="124"/>
      <c r="L18" s="124"/>
      <c r="M18" s="91"/>
      <c r="N18" s="91"/>
    </row>
    <row r="19" ht="15" customHeight="1" spans="1:14">
      <c r="A19" s="91"/>
      <c r="B19" s="91"/>
      <c r="C19" s="91"/>
      <c r="D19" s="91"/>
      <c r="E19" s="91"/>
      <c r="F19" s="91"/>
      <c r="G19" s="91"/>
      <c r="H19" s="91"/>
      <c r="I19" s="91"/>
      <c r="J19" s="91"/>
      <c r="K19" s="91"/>
      <c r="L19" s="91"/>
      <c r="M19" s="91"/>
      <c r="N19" s="91"/>
    </row>
    <row r="20" ht="18" customHeight="1" spans="1:14">
      <c r="A20" s="91"/>
      <c r="B20" s="91"/>
      <c r="C20" s="125" t="s">
        <v>18</v>
      </c>
      <c r="D20" s="91"/>
      <c r="E20" s="90" t="s">
        <v>19</v>
      </c>
      <c r="F20" s="91"/>
      <c r="G20" s="91"/>
      <c r="H20" s="126" t="s">
        <v>20</v>
      </c>
      <c r="I20" s="91"/>
      <c r="J20" s="91"/>
      <c r="K20" s="91"/>
      <c r="L20" s="91"/>
      <c r="M20" s="91"/>
      <c r="N20" s="91"/>
    </row>
    <row r="21" ht="18" customHeight="1" spans="1:14">
      <c r="A21" s="91"/>
      <c r="B21" s="91"/>
      <c r="C21" s="125" t="s">
        <v>21</v>
      </c>
      <c r="D21" s="91"/>
      <c r="E21" s="90" t="s">
        <v>22</v>
      </c>
      <c r="F21" s="91"/>
      <c r="G21" s="91"/>
      <c r="H21" s="126" t="s">
        <v>23</v>
      </c>
      <c r="I21" s="91"/>
      <c r="J21" s="91"/>
      <c r="K21" s="91"/>
      <c r="L21" s="91"/>
      <c r="M21" s="91"/>
      <c r="N21" s="91"/>
    </row>
    <row r="22" ht="18" customHeight="1" spans="1:14">
      <c r="A22" s="91"/>
      <c r="B22" s="91"/>
      <c r="C22" s="125" t="s">
        <v>24</v>
      </c>
      <c r="D22" s="91"/>
      <c r="E22" s="90" t="s">
        <v>25</v>
      </c>
      <c r="F22" s="91"/>
      <c r="G22" s="91"/>
      <c r="H22" s="126" t="s">
        <v>26</v>
      </c>
      <c r="I22" s="91"/>
      <c r="J22" s="91"/>
      <c r="K22" s="91"/>
      <c r="L22" s="91"/>
      <c r="M22" s="91"/>
      <c r="N22" s="91"/>
    </row>
    <row r="23" ht="18" customHeight="1" spans="1:14">
      <c r="A23" s="91"/>
      <c r="B23" s="91"/>
      <c r="C23" s="125" t="s">
        <v>27</v>
      </c>
      <c r="D23" s="91"/>
      <c r="E23" s="90" t="s">
        <v>28</v>
      </c>
      <c r="F23" s="91"/>
      <c r="G23" s="91"/>
      <c r="H23" s="126" t="s">
        <v>29</v>
      </c>
      <c r="I23" s="91"/>
      <c r="J23" s="91"/>
      <c r="K23" s="91"/>
      <c r="L23" s="91"/>
      <c r="M23" s="91"/>
      <c r="N23" s="91"/>
    </row>
    <row r="24" ht="18" customHeight="1" spans="1:14">
      <c r="A24" s="91"/>
      <c r="B24" s="91"/>
      <c r="C24" s="125" t="s">
        <v>30</v>
      </c>
      <c r="D24" s="91"/>
      <c r="E24" s="90" t="s">
        <v>31</v>
      </c>
      <c r="F24" s="91"/>
      <c r="G24" s="91"/>
      <c r="H24" s="126" t="s">
        <v>32</v>
      </c>
      <c r="I24" s="91"/>
      <c r="J24" s="91"/>
      <c r="K24" s="91"/>
      <c r="L24" s="91"/>
      <c r="M24" s="91"/>
      <c r="N24" s="91"/>
    </row>
    <row r="25" ht="18" customHeight="1" spans="1:14">
      <c r="A25" s="91"/>
      <c r="B25" s="91"/>
      <c r="C25" s="125" t="s">
        <v>33</v>
      </c>
      <c r="D25" s="91"/>
      <c r="E25" s="90" t="s">
        <v>34</v>
      </c>
      <c r="F25" s="91"/>
      <c r="G25" s="91"/>
      <c r="H25" s="126" t="s">
        <v>35</v>
      </c>
      <c r="I25" s="91"/>
      <c r="J25" s="91"/>
      <c r="K25" s="91"/>
      <c r="L25" s="91"/>
      <c r="M25" s="91"/>
      <c r="N25" s="91"/>
    </row>
    <row r="26" ht="18" customHeight="1" spans="1:14">
      <c r="A26" s="91"/>
      <c r="B26" s="91"/>
      <c r="C26" s="125" t="s">
        <v>36</v>
      </c>
      <c r="D26" s="91"/>
      <c r="E26" s="90" t="s">
        <v>37</v>
      </c>
      <c r="F26" s="91"/>
      <c r="G26" s="91"/>
      <c r="H26" s="126" t="s">
        <v>38</v>
      </c>
      <c r="I26" s="91"/>
      <c r="J26" s="91"/>
      <c r="K26" s="91"/>
      <c r="L26" s="91"/>
      <c r="M26" s="91"/>
      <c r="N26" s="91"/>
    </row>
    <row r="27" ht="18" customHeight="1" spans="1:14">
      <c r="A27" s="91"/>
      <c r="B27" s="91"/>
      <c r="C27" s="125" t="s">
        <v>39</v>
      </c>
      <c r="D27" s="91"/>
      <c r="E27" s="90" t="s">
        <v>40</v>
      </c>
      <c r="F27" s="91"/>
      <c r="G27" s="91"/>
      <c r="H27" s="126" t="s">
        <v>41</v>
      </c>
      <c r="I27" s="91"/>
      <c r="J27" s="91"/>
      <c r="K27" s="91"/>
      <c r="L27" s="91"/>
      <c r="M27" s="91"/>
      <c r="N27" s="91"/>
    </row>
    <row r="28" ht="18" customHeight="1" spans="1:14">
      <c r="A28" s="91"/>
      <c r="B28" s="91"/>
      <c r="C28" s="125" t="s">
        <v>42</v>
      </c>
      <c r="D28" s="91"/>
      <c r="E28" s="90" t="s">
        <v>43</v>
      </c>
      <c r="F28" s="91"/>
      <c r="G28" s="91"/>
      <c r="H28" s="126" t="s">
        <v>44</v>
      </c>
      <c r="I28" s="91"/>
      <c r="J28" s="91"/>
      <c r="K28" s="91"/>
      <c r="L28" s="91"/>
      <c r="M28" s="91"/>
      <c r="N28" s="91"/>
    </row>
    <row r="29" ht="15" customHeight="1" spans="1:14">
      <c r="A29" s="91"/>
      <c r="B29" s="91"/>
      <c r="C29" s="91"/>
      <c r="D29" s="91"/>
      <c r="E29" s="91"/>
      <c r="F29" s="91"/>
      <c r="G29" s="91"/>
      <c r="H29" s="91"/>
      <c r="I29" s="91"/>
      <c r="J29" s="91"/>
      <c r="K29" s="91"/>
      <c r="L29" s="91"/>
      <c r="M29" s="91"/>
      <c r="N29" s="91"/>
    </row>
    <row r="30" ht="15" customHeight="1" spans="1:14">
      <c r="A30" s="91"/>
      <c r="B30" s="91"/>
      <c r="C30" s="91"/>
      <c r="D30" s="91"/>
      <c r="E30" s="91"/>
      <c r="F30" s="91"/>
      <c r="G30" s="91"/>
      <c r="H30" s="91"/>
      <c r="I30" s="91"/>
      <c r="J30" s="91"/>
      <c r="K30" s="91"/>
      <c r="L30" s="91"/>
      <c r="M30" s="91"/>
      <c r="N30" s="91"/>
    </row>
    <row r="31" ht="15" customHeight="1" spans="1:14">
      <c r="A31" s="91"/>
      <c r="B31" s="91"/>
      <c r="C31" s="91"/>
      <c r="D31" s="91"/>
      <c r="E31" s="91"/>
      <c r="F31" s="91"/>
      <c r="G31" s="91"/>
      <c r="H31" s="91"/>
      <c r="I31" s="91"/>
      <c r="J31" s="91"/>
      <c r="K31" s="91"/>
      <c r="L31" s="91"/>
      <c r="M31" s="91"/>
      <c r="N31" s="91"/>
    </row>
    <row r="32" ht="15" customHeight="1" spans="1:14">
      <c r="A32" s="91"/>
      <c r="B32" s="127" t="s">
        <v>45</v>
      </c>
      <c r="C32" s="127"/>
      <c r="D32" s="127"/>
      <c r="E32" s="127"/>
      <c r="F32" s="127"/>
      <c r="G32" s="127"/>
      <c r="H32" s="127"/>
      <c r="I32" s="127"/>
      <c r="J32" s="127"/>
      <c r="K32" s="127"/>
      <c r="L32" s="127"/>
      <c r="M32" s="91"/>
      <c r="N32" s="91"/>
    </row>
    <row r="33" ht="15" customHeight="1" spans="1:14">
      <c r="A33" s="91"/>
      <c r="B33" s="127"/>
      <c r="C33" s="127"/>
      <c r="D33" s="127"/>
      <c r="E33" s="127"/>
      <c r="F33" s="127"/>
      <c r="G33" s="127"/>
      <c r="H33" s="127"/>
      <c r="I33" s="127"/>
      <c r="J33" s="127"/>
      <c r="K33" s="127"/>
      <c r="L33" s="127"/>
      <c r="M33" s="91"/>
      <c r="N33" s="91"/>
    </row>
    <row r="34" ht="15" customHeight="1" spans="1:14">
      <c r="A34" s="91"/>
      <c r="B34" s="127"/>
      <c r="C34" s="127"/>
      <c r="D34" s="127"/>
      <c r="E34" s="127"/>
      <c r="F34" s="127"/>
      <c r="G34" s="127"/>
      <c r="H34" s="127"/>
      <c r="I34" s="127"/>
      <c r="J34" s="127"/>
      <c r="K34" s="127"/>
      <c r="L34" s="127"/>
      <c r="M34" s="91"/>
      <c r="N34" s="91"/>
    </row>
    <row r="35" ht="15" customHeight="1" spans="1:14">
      <c r="A35" s="91"/>
      <c r="B35" s="91"/>
      <c r="C35" s="91"/>
      <c r="D35" s="91"/>
      <c r="E35" s="91"/>
      <c r="F35" s="91"/>
      <c r="G35" s="91"/>
      <c r="H35" s="91"/>
      <c r="I35" s="91"/>
      <c r="J35" s="91"/>
      <c r="K35" s="91"/>
      <c r="L35" s="91"/>
      <c r="M35" s="91"/>
      <c r="N35" s="91"/>
    </row>
    <row r="36" ht="15" customHeight="1" spans="1:14">
      <c r="A36" s="91"/>
      <c r="B36" s="91"/>
      <c r="C36" s="91"/>
      <c r="D36" s="91"/>
      <c r="E36" s="91"/>
      <c r="F36" s="91"/>
      <c r="G36" s="91"/>
      <c r="H36" s="91"/>
      <c r="I36" s="91"/>
      <c r="J36" s="91"/>
      <c r="K36" s="91"/>
      <c r="L36" s="91"/>
      <c r="M36" s="91"/>
      <c r="N36" s="91"/>
    </row>
    <row r="37" ht="15" customHeight="1" spans="1:14">
      <c r="A37" s="91"/>
      <c r="B37" s="91"/>
      <c r="C37" s="91"/>
      <c r="D37" s="91"/>
      <c r="E37" s="91"/>
      <c r="F37" s="91"/>
      <c r="G37" s="91"/>
      <c r="H37" s="91"/>
      <c r="I37" s="91"/>
      <c r="J37" s="91"/>
      <c r="K37" s="91"/>
      <c r="L37" s="91"/>
      <c r="M37" s="91"/>
      <c r="N37" s="91"/>
    </row>
    <row r="38" ht="15" customHeight="1" spans="1:14">
      <c r="A38" s="91"/>
      <c r="B38" s="91"/>
      <c r="C38" s="91"/>
      <c r="D38" s="91"/>
      <c r="E38" s="91"/>
      <c r="F38" s="91"/>
      <c r="G38" s="91"/>
      <c r="H38" s="91"/>
      <c r="I38" s="91"/>
      <c r="J38" s="91"/>
      <c r="K38" s="91"/>
      <c r="L38" s="91"/>
      <c r="M38" s="91"/>
      <c r="N38" s="91"/>
    </row>
    <row r="39" ht="15" customHeight="1" spans="1:14">
      <c r="A39" s="91"/>
      <c r="B39" s="91"/>
      <c r="C39" s="91"/>
      <c r="D39" s="91"/>
      <c r="E39" s="91"/>
      <c r="F39" s="91"/>
      <c r="G39" s="91"/>
      <c r="H39" s="91"/>
      <c r="I39" s="91"/>
      <c r="J39" s="91"/>
      <c r="K39" s="91"/>
      <c r="L39" s="91"/>
      <c r="M39" s="91"/>
      <c r="N39" s="91"/>
    </row>
    <row r="40" ht="15" customHeight="1" spans="1:14">
      <c r="A40" s="91"/>
      <c r="B40" s="91"/>
      <c r="C40" s="91"/>
      <c r="D40" s="91"/>
      <c r="E40" s="91"/>
      <c r="F40" s="91"/>
      <c r="G40" s="91"/>
      <c r="H40" s="91"/>
      <c r="I40" s="91"/>
      <c r="J40" s="91"/>
      <c r="K40" s="91"/>
      <c r="L40" s="91"/>
      <c r="M40" s="91"/>
      <c r="N40" s="91"/>
    </row>
    <row r="41" ht="15" customHeight="1" spans="1:14">
      <c r="A41" s="91"/>
      <c r="B41" s="91"/>
      <c r="C41" s="91"/>
      <c r="D41" s="91"/>
      <c r="E41" s="91"/>
      <c r="F41" s="91"/>
      <c r="G41" s="91"/>
      <c r="H41" s="91"/>
      <c r="I41" s="91"/>
      <c r="J41" s="91"/>
      <c r="K41" s="91"/>
      <c r="L41" s="91"/>
      <c r="M41" s="91"/>
      <c r="N41" s="91"/>
    </row>
    <row r="42" ht="15" customHeight="1" spans="1:14">
      <c r="A42" s="91"/>
      <c r="B42" s="91"/>
      <c r="C42" s="91"/>
      <c r="D42" s="91"/>
      <c r="E42" s="91"/>
      <c r="F42" s="91"/>
      <c r="G42" s="91"/>
      <c r="H42" s="91"/>
      <c r="I42" s="91"/>
      <c r="J42" s="91"/>
      <c r="K42" s="91"/>
      <c r="L42" s="91"/>
      <c r="M42" s="91"/>
      <c r="N42" s="91"/>
    </row>
    <row r="43" ht="15" customHeight="1" spans="1:14">
      <c r="A43" s="91"/>
      <c r="B43" s="91"/>
      <c r="C43" s="91"/>
      <c r="D43" s="91"/>
      <c r="E43" s="91"/>
      <c r="F43" s="91"/>
      <c r="G43" s="91"/>
      <c r="H43" s="91"/>
      <c r="I43" s="91"/>
      <c r="J43" s="91"/>
      <c r="K43" s="91"/>
      <c r="L43" s="91"/>
      <c r="M43" s="91"/>
      <c r="N43" s="91"/>
    </row>
    <row r="44" ht="15" customHeight="1" spans="1:14">
      <c r="A44" s="91"/>
      <c r="B44" s="91"/>
      <c r="C44" s="91"/>
      <c r="D44" s="91"/>
      <c r="E44" s="91"/>
      <c r="F44" s="91"/>
      <c r="G44" s="91"/>
      <c r="H44" s="91"/>
      <c r="I44" s="91"/>
      <c r="J44" s="91"/>
      <c r="K44" s="91"/>
      <c r="L44" s="91"/>
      <c r="M44" s="91"/>
      <c r="N44" s="91"/>
    </row>
    <row r="45" ht="15" customHeight="1" spans="1:14">
      <c r="A45" s="91"/>
      <c r="B45" s="91"/>
      <c r="C45" s="91"/>
      <c r="D45" s="91"/>
      <c r="E45" s="91"/>
      <c r="F45" s="91"/>
      <c r="G45" s="91"/>
      <c r="H45" s="91"/>
      <c r="I45" s="91"/>
      <c r="J45" s="91"/>
      <c r="K45" s="91"/>
      <c r="L45" s="91"/>
      <c r="M45" s="91"/>
      <c r="N45" s="91"/>
    </row>
    <row r="46" ht="15" customHeight="1" spans="1:14">
      <c r="A46" s="91"/>
      <c r="B46" s="91"/>
      <c r="C46" s="91"/>
      <c r="D46" s="91"/>
      <c r="E46" s="91"/>
      <c r="F46" s="91"/>
      <c r="G46" s="91"/>
      <c r="H46" s="91"/>
      <c r="I46" s="91"/>
      <c r="J46" s="91"/>
      <c r="K46" s="91"/>
      <c r="L46" s="91"/>
      <c r="M46" s="91"/>
      <c r="N46" s="91"/>
    </row>
    <row r="47" ht="15" customHeight="1" spans="1:14">
      <c r="A47" s="91"/>
      <c r="B47" s="91"/>
      <c r="C47" s="91"/>
      <c r="D47" s="91"/>
      <c r="E47" s="91"/>
      <c r="F47" s="91"/>
      <c r="G47" s="91"/>
      <c r="H47" s="91"/>
      <c r="I47" s="91"/>
      <c r="J47" s="91"/>
      <c r="K47" s="91"/>
      <c r="L47" s="91"/>
      <c r="M47" s="91"/>
      <c r="N47" s="91"/>
    </row>
    <row r="48" ht="15" customHeight="1" spans="1:14">
      <c r="A48" s="91"/>
      <c r="B48" s="91"/>
      <c r="C48" s="91"/>
      <c r="D48" s="91"/>
      <c r="E48" s="91"/>
      <c r="F48" s="91"/>
      <c r="G48" s="91"/>
      <c r="H48" s="91"/>
      <c r="I48" s="91"/>
      <c r="J48" s="91"/>
      <c r="K48" s="91"/>
      <c r="L48" s="91"/>
      <c r="M48" s="91"/>
      <c r="N48" s="91"/>
    </row>
    <row r="49" ht="15" customHeight="1" spans="1:14">
      <c r="A49" s="91"/>
      <c r="B49" s="91"/>
      <c r="C49" s="91"/>
      <c r="D49" s="91"/>
      <c r="E49" s="91"/>
      <c r="F49" s="91"/>
      <c r="G49" s="91"/>
      <c r="H49" s="91"/>
      <c r="I49" s="91"/>
      <c r="J49" s="91"/>
      <c r="K49" s="91"/>
      <c r="L49" s="91"/>
      <c r="M49" s="91"/>
      <c r="N49" s="91"/>
    </row>
  </sheetData>
  <mergeCells count="6">
    <mergeCell ref="B3:L3"/>
    <mergeCell ref="B4:L4"/>
    <mergeCell ref="B5:L5"/>
    <mergeCell ref="B7:L7"/>
    <mergeCell ref="B18:L18"/>
    <mergeCell ref="B32:L34"/>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1:H37"/>
  <sheetViews>
    <sheetView showGridLines="0" tabSelected="1" topLeftCell="A18" workbookViewId="0">
      <selection activeCell="A1" sqref="A1"/>
    </sheetView>
  </sheetViews>
  <sheetFormatPr defaultColWidth="8.67592592592593" defaultRowHeight="14.4" outlineLevelCol="7"/>
  <cols>
    <col min="1" max="1" width="2" style="1" customWidth="1"/>
    <col min="2" max="2" width="36" style="1" customWidth="1"/>
    <col min="3" max="7" width="14" style="1" customWidth="1"/>
    <col min="8" max="8" width="30" style="1" customWidth="1"/>
  </cols>
  <sheetData>
    <row r="1" ht="30" customHeight="1" spans="2:8">
      <c r="B1" s="3" t="s">
        <v>46</v>
      </c>
      <c r="C1" s="3"/>
      <c r="D1" s="3"/>
      <c r="E1" s="3"/>
      <c r="F1" s="3"/>
      <c r="G1" s="3"/>
    </row>
    <row r="2" ht="15" customHeight="1" spans="2:8">
      <c r="B2" s="110" t="s">
        <v>47</v>
      </c>
      <c r="C2" s="110"/>
      <c r="D2" s="110"/>
      <c r="E2" s="110"/>
      <c r="F2" s="110"/>
      <c r="G2" s="110"/>
    </row>
    <row r="4" ht="21.75" customHeight="1" spans="2:8">
      <c r="B4" s="89" t="s">
        <v>48</v>
      </c>
      <c r="C4" s="89" t="s">
        <v>49</v>
      </c>
      <c r="D4" s="89" t="s">
        <v>50</v>
      </c>
      <c r="E4" s="89" t="s">
        <v>51</v>
      </c>
      <c r="F4" s="89" t="s">
        <v>52</v>
      </c>
      <c r="G4" s="89" t="s">
        <v>53</v>
      </c>
      <c r="H4" s="89" t="s">
        <v>54</v>
      </c>
    </row>
    <row r="5" ht="18" customHeight="1" spans="2:8">
      <c r="B5" s="90" t="s">
        <v>55</v>
      </c>
      <c r="C5" s="91"/>
      <c r="D5" s="91"/>
      <c r="E5" s="91"/>
      <c r="F5" s="91"/>
      <c r="G5" s="91"/>
      <c r="H5" s="91"/>
    </row>
    <row r="6" ht="18" customHeight="1" spans="2:8">
      <c r="B6" s="64" t="s">
        <v>56</v>
      </c>
      <c r="C6" s="111">
        <v>0.05</v>
      </c>
      <c r="D6" s="111">
        <v>0.06</v>
      </c>
      <c r="E6" s="111">
        <v>0.07</v>
      </c>
      <c r="F6" s="111">
        <v>0.07</v>
      </c>
      <c r="G6" s="111">
        <v>0.08</v>
      </c>
    </row>
    <row r="7" ht="18" customHeight="1" spans="2:8">
      <c r="B7" s="64" t="s">
        <v>57</v>
      </c>
      <c r="C7" s="111">
        <v>0.13</v>
      </c>
      <c r="D7" s="111">
        <v>0.14</v>
      </c>
      <c r="E7" s="111">
        <v>0.15</v>
      </c>
      <c r="F7" s="111">
        <v>0.15</v>
      </c>
      <c r="G7" s="111">
        <v>0.15</v>
      </c>
    </row>
    <row r="8" ht="18" customHeight="1" spans="2:8">
      <c r="B8" s="64" t="s">
        <v>58</v>
      </c>
      <c r="C8" s="112">
        <f>Assumptions!C6*0.6+Assumptions!C7*0.4</f>
        <v>0.082</v>
      </c>
      <c r="D8" s="112">
        <f>Assumptions!C6*0.6+Assumptions!C7*0.4</f>
        <v>0.082</v>
      </c>
      <c r="E8" s="112">
        <f>Assumptions!C6*0.6+Assumptions!C7*0.4</f>
        <v>0.082</v>
      </c>
      <c r="F8" s="112">
        <f>Assumptions!C6*0.6+Assumptions!C7*0.4</f>
        <v>0.082</v>
      </c>
      <c r="G8" s="112">
        <f>Assumptions!C6*0.6+Assumptions!C7*0.4</f>
        <v>0.082</v>
      </c>
    </row>
    <row r="9" ht="18" customHeight="1" spans="2:8">
      <c r="B9" s="90" t="s">
        <v>59</v>
      </c>
      <c r="C9" s="91"/>
      <c r="D9" s="91"/>
      <c r="E9" s="91"/>
      <c r="F9" s="91"/>
      <c r="G9" s="91"/>
      <c r="H9" s="91"/>
    </row>
    <row r="10" ht="18" customHeight="1" spans="2:8">
      <c r="B10" s="64" t="s">
        <v>60</v>
      </c>
      <c r="C10" s="111">
        <v>0.465</v>
      </c>
      <c r="D10" s="111">
        <v>0.47</v>
      </c>
      <c r="E10" s="111">
        <v>0.475</v>
      </c>
      <c r="F10" s="111">
        <v>0.478</v>
      </c>
      <c r="G10" s="111">
        <v>0.48</v>
      </c>
    </row>
    <row r="11" ht="18" customHeight="1" spans="2:8">
      <c r="B11" s="64" t="s">
        <v>61</v>
      </c>
      <c r="C11" s="111">
        <v>0.065</v>
      </c>
      <c r="D11" s="111">
        <v>0.064</v>
      </c>
      <c r="E11" s="111">
        <v>0.063</v>
      </c>
      <c r="F11" s="111">
        <v>0.062</v>
      </c>
      <c r="G11" s="111">
        <v>0.061</v>
      </c>
    </row>
    <row r="12" ht="18" customHeight="1" spans="2:8">
      <c r="B12" s="64" t="s">
        <v>62</v>
      </c>
      <c r="C12" s="111">
        <v>0.065</v>
      </c>
      <c r="D12" s="111">
        <v>0.064</v>
      </c>
      <c r="E12" s="111">
        <v>0.063</v>
      </c>
      <c r="F12" s="111">
        <v>0.062</v>
      </c>
      <c r="G12" s="111">
        <v>0.061</v>
      </c>
    </row>
    <row r="13" ht="18" customHeight="1" spans="2:8">
      <c r="B13" s="64" t="s">
        <v>63</v>
      </c>
      <c r="C13" s="112">
        <f>C10-C11-C12</f>
        <v>0.335</v>
      </c>
      <c r="D13" s="112">
        <f>D10-D11-D12</f>
        <v>0.342</v>
      </c>
      <c r="E13" s="112">
        <f>E10-E11-E12</f>
        <v>0.349</v>
      </c>
      <c r="F13" s="112">
        <f>F10-F11-F12</f>
        <v>0.354</v>
      </c>
      <c r="G13" s="112">
        <f>G10-G11-G12</f>
        <v>0.358</v>
      </c>
    </row>
    <row r="14" ht="18" customHeight="1" spans="2:8">
      <c r="B14" s="64" t="s">
        <v>64</v>
      </c>
      <c r="C14" s="111">
        <v>0.151</v>
      </c>
      <c r="D14" s="111">
        <v>0.151</v>
      </c>
      <c r="E14" s="111">
        <v>0.151</v>
      </c>
      <c r="F14" s="111">
        <v>0.151</v>
      </c>
      <c r="G14" s="111">
        <v>0.151</v>
      </c>
    </row>
    <row r="15" ht="18" customHeight="1" spans="2:8">
      <c r="B15" s="64" t="s">
        <v>65</v>
      </c>
      <c r="C15" s="112">
        <f>C13*(1-C14)</f>
        <v>0.284415</v>
      </c>
      <c r="D15" s="112">
        <f>D13*(1-D14)</f>
        <v>0.290358</v>
      </c>
      <c r="E15" s="112">
        <f>E13*(1-E14)</f>
        <v>0.296301</v>
      </c>
      <c r="F15" s="112">
        <f>F13*(1-F14)</f>
        <v>0.300546</v>
      </c>
      <c r="G15" s="112">
        <f>G13*(1-G14)</f>
        <v>0.303942</v>
      </c>
    </row>
    <row r="17" ht="18" customHeight="1" spans="2:8">
      <c r="B17" s="90" t="s">
        <v>66</v>
      </c>
      <c r="C17" s="91"/>
      <c r="D17" s="91"/>
      <c r="E17" s="91"/>
      <c r="F17" s="91"/>
      <c r="G17" s="91"/>
      <c r="H17" s="91"/>
    </row>
    <row r="18" ht="18" customHeight="1" spans="2:8">
      <c r="B18" s="64" t="s">
        <v>67</v>
      </c>
      <c r="C18" s="113">
        <v>28</v>
      </c>
      <c r="D18" s="113">
        <v>28</v>
      </c>
      <c r="E18" s="113">
        <v>27</v>
      </c>
      <c r="F18" s="113">
        <v>27</v>
      </c>
      <c r="G18" s="113">
        <v>26</v>
      </c>
    </row>
    <row r="19" ht="18" customHeight="1" spans="2:8">
      <c r="B19" s="64" t="s">
        <v>68</v>
      </c>
      <c r="C19" s="113">
        <v>7</v>
      </c>
      <c r="D19" s="113">
        <v>7</v>
      </c>
      <c r="E19" s="113">
        <v>7</v>
      </c>
      <c r="F19" s="113">
        <v>6.5</v>
      </c>
      <c r="G19" s="113">
        <v>6.5</v>
      </c>
    </row>
    <row r="20" ht="18" customHeight="1" spans="2:8">
      <c r="B20" s="64" t="s">
        <v>69</v>
      </c>
      <c r="C20" s="113">
        <v>90</v>
      </c>
      <c r="D20" s="113">
        <v>90</v>
      </c>
      <c r="E20" s="113">
        <v>92</v>
      </c>
      <c r="F20" s="113">
        <v>92</v>
      </c>
      <c r="G20" s="113">
        <v>94</v>
      </c>
    </row>
    <row r="21" ht="18" customHeight="1" spans="2:8">
      <c r="B21" s="64" t="s">
        <v>70</v>
      </c>
      <c r="C21" s="111">
        <v>0.03</v>
      </c>
      <c r="D21" s="111">
        <v>0.03</v>
      </c>
      <c r="E21" s="111">
        <v>0.028</v>
      </c>
      <c r="F21" s="111">
        <v>0.028</v>
      </c>
      <c r="G21" s="111">
        <v>0.026</v>
      </c>
    </row>
    <row r="22" ht="18" customHeight="1" spans="2:8">
      <c r="B22" s="64" t="s">
        <v>71</v>
      </c>
      <c r="C22" s="111">
        <v>0.026</v>
      </c>
      <c r="D22" s="111">
        <v>0.026</v>
      </c>
      <c r="E22" s="111">
        <v>0.025</v>
      </c>
      <c r="F22" s="111">
        <v>0.025</v>
      </c>
      <c r="G22" s="111">
        <v>0.024</v>
      </c>
    </row>
    <row r="24" ht="18" customHeight="1" spans="2:8">
      <c r="B24" s="90" t="s">
        <v>72</v>
      </c>
      <c r="C24" s="91"/>
      <c r="D24" s="91"/>
      <c r="E24" s="91"/>
      <c r="F24" s="91"/>
      <c r="G24" s="91"/>
      <c r="H24" s="91"/>
    </row>
    <row r="25" ht="18" customHeight="1" spans="2:8">
      <c r="B25" s="64" t="s">
        <v>73</v>
      </c>
      <c r="C25" s="111">
        <v>0.043</v>
      </c>
      <c r="H25" s="114" t="s">
        <v>74</v>
      </c>
    </row>
    <row r="26" ht="18" customHeight="1" spans="2:8">
      <c r="B26" s="64" t="s">
        <v>75</v>
      </c>
      <c r="C26" s="111">
        <v>0.055</v>
      </c>
      <c r="H26" s="114" t="s">
        <v>76</v>
      </c>
    </row>
    <row r="27" ht="18" customHeight="1" spans="2:8">
      <c r="B27" s="64" t="s">
        <v>77</v>
      </c>
      <c r="C27" s="115">
        <v>1.24</v>
      </c>
      <c r="H27" s="114" t="s">
        <v>78</v>
      </c>
    </row>
    <row r="28" ht="18" customHeight="1" spans="2:8">
      <c r="B28" s="64" t="s">
        <v>79</v>
      </c>
      <c r="C28" s="116">
        <f>C25+C27*C26</f>
        <v>0.1112</v>
      </c>
    </row>
    <row r="29" ht="18" customHeight="1" spans="2:8">
      <c r="B29" s="64" t="s">
        <v>80</v>
      </c>
      <c r="C29" s="111">
        <v>0.03</v>
      </c>
      <c r="H29" s="114" t="s">
        <v>81</v>
      </c>
    </row>
    <row r="30" ht="18" customHeight="1" spans="2:8">
      <c r="B30" s="64" t="s">
        <v>82</v>
      </c>
      <c r="C30" s="111">
        <v>0.151</v>
      </c>
    </row>
    <row r="31" ht="18" customHeight="1" spans="2:8">
      <c r="B31" s="64" t="s">
        <v>83</v>
      </c>
      <c r="C31" s="116">
        <f>C29*(1-C30)</f>
        <v>0.02547</v>
      </c>
    </row>
    <row r="32" ht="18" customHeight="1" spans="2:8">
      <c r="B32" s="64" t="s">
        <v>84</v>
      </c>
      <c r="C32" s="111">
        <v>0.97</v>
      </c>
    </row>
    <row r="33" ht="18" customHeight="1" spans="2:8">
      <c r="B33" s="64" t="s">
        <v>85</v>
      </c>
      <c r="C33" s="111">
        <v>0.03</v>
      </c>
    </row>
    <row r="34" ht="18" customHeight="1" spans="2:8">
      <c r="B34" s="64" t="s">
        <v>86</v>
      </c>
      <c r="C34" s="116">
        <f>C32*C28+C31*C33</f>
        <v>0.1086281</v>
      </c>
    </row>
    <row r="35" ht="18" customHeight="1" spans="2:8">
      <c r="B35" s="64" t="s">
        <v>87</v>
      </c>
      <c r="C35" s="111">
        <v>0.03</v>
      </c>
      <c r="H35" s="114" t="s">
        <v>88</v>
      </c>
    </row>
    <row r="36" ht="18" customHeight="1" spans="2:8">
      <c r="B36" s="64" t="s">
        <v>89</v>
      </c>
      <c r="C36" s="117">
        <v>-50000</v>
      </c>
      <c r="H36" s="114" t="s">
        <v>90</v>
      </c>
    </row>
    <row r="37" ht="18" customHeight="1" spans="2:8">
      <c r="B37" s="64" t="s">
        <v>91</v>
      </c>
      <c r="C37" s="117">
        <v>15200</v>
      </c>
      <c r="H37" s="114" t="s">
        <v>92</v>
      </c>
    </row>
  </sheetData>
  <mergeCells count="2">
    <mergeCell ref="B1:G1"/>
    <mergeCell ref="B2:G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C1:M32"/>
  <sheetViews>
    <sheetView showGridLines="0" workbookViewId="0">
      <selection activeCell="A1" sqref="A1"/>
    </sheetView>
  </sheetViews>
  <sheetFormatPr defaultColWidth="8.67592592592593" defaultRowHeight="14.4"/>
  <cols>
    <col min="1" max="1" width="2" style="1" customWidth="1"/>
    <col min="2" max="2" width="1" style="1" customWidth="1"/>
    <col min="3" max="3" width="36" style="1" customWidth="1"/>
    <col min="4" max="13" width="13" style="1" customWidth="1"/>
    <col min="14" max="14" width="2" style="1" customWidth="1"/>
  </cols>
  <sheetData>
    <row r="1" ht="30" customHeight="1" spans="3:13">
      <c r="C1" s="3" t="s">
        <v>93</v>
      </c>
      <c r="D1" s="3"/>
      <c r="E1" s="3"/>
      <c r="F1" s="3"/>
      <c r="G1" s="3"/>
      <c r="H1" s="3"/>
      <c r="I1" s="3"/>
      <c r="J1" s="3"/>
      <c r="K1" s="3"/>
      <c r="L1" s="3"/>
      <c r="M1" s="3"/>
    </row>
    <row r="2" ht="15" customHeight="1" spans="3:13">
      <c r="C2" s="105" t="s">
        <v>94</v>
      </c>
    </row>
    <row r="3" ht="15.75" customHeight="1" spans="3:13">
      <c r="D3" s="86" t="s">
        <v>95</v>
      </c>
      <c r="E3" s="86"/>
      <c r="F3" s="86"/>
      <c r="G3" s="86"/>
      <c r="H3" s="86"/>
      <c r="I3" s="87" t="s">
        <v>96</v>
      </c>
      <c r="J3" s="87"/>
      <c r="K3" s="87"/>
      <c r="L3" s="87"/>
      <c r="M3" s="87"/>
    </row>
    <row r="4" ht="21.75" customHeight="1" spans="3:13">
      <c r="C4" s="106" t="s">
        <v>97</v>
      </c>
      <c r="D4" s="89" t="s">
        <v>98</v>
      </c>
      <c r="E4" s="89" t="s">
        <v>99</v>
      </c>
      <c r="F4" s="89" t="s">
        <v>100</v>
      </c>
      <c r="G4" s="89" t="s">
        <v>101</v>
      </c>
      <c r="H4" s="89" t="s">
        <v>102</v>
      </c>
      <c r="I4" s="70" t="s">
        <v>49</v>
      </c>
      <c r="J4" s="70" t="s">
        <v>50</v>
      </c>
      <c r="K4" s="70" t="s">
        <v>51</v>
      </c>
      <c r="L4" s="70" t="s">
        <v>52</v>
      </c>
      <c r="M4" s="70" t="s">
        <v>53</v>
      </c>
    </row>
    <row r="5" ht="18" customHeight="1" spans="3:13">
      <c r="C5" s="94" t="s">
        <v>103</v>
      </c>
      <c r="D5" s="95"/>
      <c r="E5" s="95"/>
      <c r="F5" s="95"/>
      <c r="G5" s="95"/>
      <c r="H5" s="95"/>
      <c r="I5" s="95"/>
      <c r="J5" s="95"/>
      <c r="K5" s="95"/>
      <c r="L5" s="95"/>
      <c r="M5" s="95"/>
    </row>
    <row r="6" ht="18" customHeight="1" spans="3:13">
      <c r="C6" s="64" t="s">
        <v>104</v>
      </c>
      <c r="D6" s="80">
        <v>220747</v>
      </c>
      <c r="E6" s="80">
        <v>297392</v>
      </c>
      <c r="F6" s="80">
        <v>316199</v>
      </c>
      <c r="G6" s="80">
        <v>298085</v>
      </c>
      <c r="H6" s="80">
        <v>294866</v>
      </c>
      <c r="I6" s="72">
        <f>H6*(1+Assumptions!C6)</f>
        <v>309609.3</v>
      </c>
      <c r="J6" s="72">
        <f>I6*(1+Assumptions!D6)</f>
        <v>328185.858</v>
      </c>
      <c r="K6" s="72">
        <f>J6*(1+Assumptions!E6)</f>
        <v>351158.86806</v>
      </c>
      <c r="L6" s="72">
        <f>K6*(1+Assumptions!F6)</f>
        <v>375739.9888242</v>
      </c>
      <c r="M6" s="72">
        <f>L6*(1+Assumptions!G6)</f>
        <v>405799.187930136</v>
      </c>
    </row>
    <row r="7" ht="18" customHeight="1" spans="3:13">
      <c r="C7" s="64" t="s">
        <v>105</v>
      </c>
      <c r="D7" s="80">
        <v>53768</v>
      </c>
      <c r="E7" s="80">
        <v>68425</v>
      </c>
      <c r="F7" s="80">
        <v>78129</v>
      </c>
      <c r="G7" s="80">
        <v>85200</v>
      </c>
      <c r="H7" s="80">
        <v>96169</v>
      </c>
      <c r="I7" s="72">
        <f>H7*(1+Assumptions!C7)</f>
        <v>108670.97</v>
      </c>
      <c r="J7" s="72">
        <f>I7*(1+Assumptions!D7)</f>
        <v>123884.9058</v>
      </c>
      <c r="K7" s="72">
        <f>J7*(1+Assumptions!E7)</f>
        <v>142467.64167</v>
      </c>
      <c r="L7" s="72">
        <f>K7*(1+Assumptions!F7)</f>
        <v>163837.7879205</v>
      </c>
      <c r="M7" s="72">
        <f>L7*(1+Assumptions!G7)</f>
        <v>188413.456108575</v>
      </c>
    </row>
    <row r="8" ht="18" customHeight="1" spans="3:13">
      <c r="C8" s="97" t="s">
        <v>106</v>
      </c>
      <c r="D8" s="98">
        <v>274515</v>
      </c>
      <c r="E8" s="98">
        <v>365817</v>
      </c>
      <c r="F8" s="98">
        <v>394328</v>
      </c>
      <c r="G8" s="98">
        <v>383285</v>
      </c>
      <c r="H8" s="98">
        <v>391035</v>
      </c>
      <c r="I8" s="98">
        <f>I6+I7</f>
        <v>418280.27</v>
      </c>
      <c r="J8" s="98">
        <f>J6+J7</f>
        <v>452070.7638</v>
      </c>
      <c r="K8" s="98">
        <f>K6+K7</f>
        <v>493626.50973</v>
      </c>
      <c r="L8" s="98">
        <f>L6+L7</f>
        <v>539577.7767447</v>
      </c>
      <c r="M8" s="98">
        <f>M6+M7</f>
        <v>594212.644038711</v>
      </c>
    </row>
    <row r="10" ht="18" customHeight="1" spans="3:13">
      <c r="C10" s="94" t="s">
        <v>107</v>
      </c>
      <c r="D10" s="95"/>
      <c r="E10" s="95"/>
      <c r="F10" s="95"/>
      <c r="G10" s="95"/>
      <c r="H10" s="95"/>
      <c r="I10" s="95"/>
      <c r="J10" s="95"/>
      <c r="K10" s="95"/>
      <c r="L10" s="95"/>
      <c r="M10" s="95"/>
    </row>
    <row r="11" ht="18" customHeight="1" spans="3:13">
      <c r="C11" s="64" t="s">
        <v>108</v>
      </c>
      <c r="D11" s="80">
        <v>169559</v>
      </c>
      <c r="E11" s="80">
        <v>212981</v>
      </c>
      <c r="F11" s="80">
        <v>223546</v>
      </c>
      <c r="G11" s="80">
        <v>214137</v>
      </c>
      <c r="H11" s="80">
        <v>210352</v>
      </c>
      <c r="I11" s="72">
        <f>I8*(1-Assumptions!C10)</f>
        <v>223779.94445</v>
      </c>
      <c r="J11" s="72">
        <f>J8*(1-Assumptions!D10)</f>
        <v>239597.504814</v>
      </c>
      <c r="K11" s="72">
        <f>K8*(1-Assumptions!E10)</f>
        <v>259153.91760825</v>
      </c>
      <c r="L11" s="72">
        <f>L8*(1-Assumptions!F10)</f>
        <v>281659.599460733</v>
      </c>
      <c r="M11" s="72">
        <f>M8*(1-Assumptions!G10)</f>
        <v>308990.57490013</v>
      </c>
    </row>
    <row r="12" ht="18" customHeight="1" spans="3:13">
      <c r="C12" s="97" t="s">
        <v>109</v>
      </c>
      <c r="D12" s="98">
        <v>104956</v>
      </c>
      <c r="E12" s="98">
        <v>152836</v>
      </c>
      <c r="F12" s="98">
        <v>170782</v>
      </c>
      <c r="G12" s="98">
        <v>169148</v>
      </c>
      <c r="H12" s="98">
        <v>180683</v>
      </c>
      <c r="I12" s="98">
        <f>I8-I11</f>
        <v>194500.32555</v>
      </c>
      <c r="J12" s="98">
        <f>J8-J11</f>
        <v>212473.258986</v>
      </c>
      <c r="K12" s="98">
        <f>K8-K11</f>
        <v>234472.59212175</v>
      </c>
      <c r="L12" s="98">
        <f>L8-L11</f>
        <v>257918.177283967</v>
      </c>
      <c r="M12" s="98">
        <f>M8-M11</f>
        <v>285222.069138581</v>
      </c>
    </row>
    <row r="13" ht="18" customHeight="1" spans="3:13">
      <c r="C13" s="64" t="s">
        <v>110</v>
      </c>
      <c r="D13" s="99">
        <f t="shared" ref="D13:M13" si="0">D12/D8</f>
        <v>0.382332477278109</v>
      </c>
      <c r="E13" s="99">
        <f t="shared" si="0"/>
        <v>0.417793596251678</v>
      </c>
      <c r="F13" s="99">
        <f t="shared" si="0"/>
        <v>0.433096305613601</v>
      </c>
      <c r="G13" s="99">
        <f t="shared" si="0"/>
        <v>0.441311295772076</v>
      </c>
      <c r="H13" s="99">
        <f t="shared" si="0"/>
        <v>0.462063498152339</v>
      </c>
      <c r="I13" s="99">
        <f t="shared" si="0"/>
        <v>0.465</v>
      </c>
      <c r="J13" s="99">
        <f t="shared" si="0"/>
        <v>0.47</v>
      </c>
      <c r="K13" s="99">
        <f t="shared" si="0"/>
        <v>0.475</v>
      </c>
      <c r="L13" s="99">
        <f t="shared" si="0"/>
        <v>0.478</v>
      </c>
      <c r="M13" s="99">
        <f t="shared" si="0"/>
        <v>0.48</v>
      </c>
    </row>
    <row r="15" ht="18" customHeight="1" spans="3:13">
      <c r="C15" s="94" t="s">
        <v>111</v>
      </c>
      <c r="D15" s="95"/>
      <c r="E15" s="95"/>
      <c r="F15" s="95"/>
      <c r="G15" s="95"/>
      <c r="H15" s="95"/>
      <c r="I15" s="95"/>
      <c r="J15" s="95"/>
      <c r="K15" s="95"/>
      <c r="L15" s="95"/>
      <c r="M15" s="95"/>
    </row>
    <row r="16" ht="18" customHeight="1" spans="3:13">
      <c r="C16" s="64" t="s">
        <v>112</v>
      </c>
      <c r="D16" s="80">
        <v>18752</v>
      </c>
      <c r="E16" s="80">
        <v>21914</v>
      </c>
      <c r="F16" s="80">
        <v>26251</v>
      </c>
      <c r="G16" s="80">
        <v>29915</v>
      </c>
      <c r="H16" s="80">
        <v>31370</v>
      </c>
      <c r="I16" s="72">
        <f>I8*Assumptions!C11</f>
        <v>27188.21755</v>
      </c>
      <c r="J16" s="72">
        <f>J8*Assumptions!D11</f>
        <v>28932.5288832</v>
      </c>
      <c r="K16" s="72">
        <f>K8*Assumptions!E11</f>
        <v>31098.47011299</v>
      </c>
      <c r="L16" s="72">
        <f>L8*Assumptions!F11</f>
        <v>33453.8221581714</v>
      </c>
      <c r="M16" s="72">
        <f>M8*Assumptions!G11</f>
        <v>36246.9712863614</v>
      </c>
    </row>
    <row r="17" ht="18" customHeight="1" spans="3:13">
      <c r="C17" s="64" t="s">
        <v>113</v>
      </c>
      <c r="D17" s="80">
        <v>19916</v>
      </c>
      <c r="E17" s="80">
        <v>21973</v>
      </c>
      <c r="F17" s="80">
        <v>25094</v>
      </c>
      <c r="G17" s="80">
        <v>24932</v>
      </c>
      <c r="H17" s="80">
        <v>26097</v>
      </c>
      <c r="I17" s="72">
        <f>I8*Assumptions!C12</f>
        <v>27188.21755</v>
      </c>
      <c r="J17" s="72">
        <f>J8*Assumptions!D12</f>
        <v>28932.5288832</v>
      </c>
      <c r="K17" s="72">
        <f>K8*Assumptions!E12</f>
        <v>31098.47011299</v>
      </c>
      <c r="L17" s="72">
        <f>L8*Assumptions!F12</f>
        <v>33453.8221581714</v>
      </c>
      <c r="M17" s="72">
        <f>M8*Assumptions!G12</f>
        <v>36246.9712863614</v>
      </c>
    </row>
    <row r="18" ht="18" customHeight="1" spans="3:13">
      <c r="C18" s="97" t="s">
        <v>114</v>
      </c>
      <c r="D18" s="107">
        <v>38668</v>
      </c>
      <c r="E18" s="107">
        <v>43887</v>
      </c>
      <c r="F18" s="107">
        <v>51345</v>
      </c>
      <c r="G18" s="107">
        <v>54847</v>
      </c>
      <c r="H18" s="107">
        <v>57467</v>
      </c>
      <c r="I18" s="107">
        <f>I16+I17</f>
        <v>54376.4351</v>
      </c>
      <c r="J18" s="107">
        <f>J16+J17</f>
        <v>57865.0577664</v>
      </c>
      <c r="K18" s="107">
        <f>K16+K17</f>
        <v>62196.94022598</v>
      </c>
      <c r="L18" s="107">
        <f>L16+L17</f>
        <v>66907.6443163428</v>
      </c>
      <c r="M18" s="107">
        <f>M16+M17</f>
        <v>72493.9425727227</v>
      </c>
    </row>
    <row r="20" ht="18" customHeight="1" spans="3:13">
      <c r="C20" s="97" t="s">
        <v>115</v>
      </c>
      <c r="D20" s="98">
        <v>66288</v>
      </c>
      <c r="E20" s="98">
        <v>108949</v>
      </c>
      <c r="F20" s="98">
        <v>119437</v>
      </c>
      <c r="G20" s="98">
        <v>114301</v>
      </c>
      <c r="H20" s="98">
        <v>123216</v>
      </c>
      <c r="I20" s="98">
        <f>I12-I18</f>
        <v>140123.89045</v>
      </c>
      <c r="J20" s="98">
        <f>J12-J18</f>
        <v>154608.2012196</v>
      </c>
      <c r="K20" s="98">
        <f>K12-K18</f>
        <v>172275.65189577</v>
      </c>
      <c r="L20" s="98">
        <f>L12-L18</f>
        <v>191010.532967624</v>
      </c>
      <c r="M20" s="98">
        <f>M12-M18</f>
        <v>212728.126565859</v>
      </c>
    </row>
    <row r="21" ht="18" customHeight="1" spans="3:13">
      <c r="C21" s="64" t="s">
        <v>116</v>
      </c>
      <c r="D21" s="99">
        <f t="shared" ref="D21:M21" si="1">D20/D8</f>
        <v>0.241473143544069</v>
      </c>
      <c r="E21" s="99">
        <f t="shared" si="1"/>
        <v>0.297823775275616</v>
      </c>
      <c r="F21" s="99">
        <f t="shared" si="1"/>
        <v>0.302887443955286</v>
      </c>
      <c r="G21" s="99">
        <f t="shared" si="1"/>
        <v>0.298214122650247</v>
      </c>
      <c r="H21" s="99">
        <f t="shared" si="1"/>
        <v>0.315102228700756</v>
      </c>
      <c r="I21" s="99">
        <f t="shared" si="1"/>
        <v>0.335</v>
      </c>
      <c r="J21" s="99">
        <f t="shared" si="1"/>
        <v>0.342</v>
      </c>
      <c r="K21" s="99">
        <f t="shared" si="1"/>
        <v>0.349</v>
      </c>
      <c r="L21" s="99">
        <f t="shared" si="1"/>
        <v>0.354</v>
      </c>
      <c r="M21" s="99">
        <f t="shared" si="1"/>
        <v>0.358</v>
      </c>
    </row>
    <row r="23" ht="18" customHeight="1" spans="3:13">
      <c r="C23" s="64" t="s">
        <v>117</v>
      </c>
      <c r="D23" s="80">
        <v>11056</v>
      </c>
      <c r="E23" s="80">
        <v>11284</v>
      </c>
      <c r="F23" s="80">
        <v>11104</v>
      </c>
      <c r="G23" s="80">
        <v>11519</v>
      </c>
      <c r="H23" s="80">
        <v>11445</v>
      </c>
      <c r="I23" s="72">
        <f>I8*Assumptions!C23</f>
        <v>0</v>
      </c>
      <c r="J23" s="72">
        <f>J8*Assumptions!D23</f>
        <v>0</v>
      </c>
      <c r="K23" s="72">
        <f>K8*Assumptions!E23</f>
        <v>0</v>
      </c>
      <c r="L23" s="72">
        <f>L8*Assumptions!F23</f>
        <v>0</v>
      </c>
      <c r="M23" s="72">
        <f>M8*Assumptions!G23</f>
        <v>0</v>
      </c>
    </row>
    <row r="24" ht="18" customHeight="1" spans="3:13">
      <c r="C24" s="97" t="s">
        <v>118</v>
      </c>
      <c r="D24" s="98">
        <v>77344</v>
      </c>
      <c r="E24" s="98">
        <v>120233</v>
      </c>
      <c r="F24" s="98">
        <v>130541</v>
      </c>
      <c r="G24" s="98">
        <v>125820</v>
      </c>
      <c r="H24" s="98">
        <v>134661</v>
      </c>
      <c r="I24" s="98">
        <f>I20+I23</f>
        <v>140123.89045</v>
      </c>
      <c r="J24" s="98">
        <f>J20+J23</f>
        <v>154608.2012196</v>
      </c>
      <c r="K24" s="98">
        <f>K20+K23</f>
        <v>172275.65189577</v>
      </c>
      <c r="L24" s="98">
        <f>L20+L23</f>
        <v>191010.532967624</v>
      </c>
      <c r="M24" s="98">
        <f>M20+M23</f>
        <v>212728.126565859</v>
      </c>
    </row>
    <row r="25" ht="18" customHeight="1" spans="3:13">
      <c r="C25" s="64" t="s">
        <v>119</v>
      </c>
      <c r="D25" s="99">
        <f t="shared" ref="D25:M25" si="2">D24/D8</f>
        <v>0.281747809773601</v>
      </c>
      <c r="E25" s="99">
        <f t="shared" si="2"/>
        <v>0.328669799380565</v>
      </c>
      <c r="F25" s="99">
        <f t="shared" si="2"/>
        <v>0.33104674281309</v>
      </c>
      <c r="G25" s="99">
        <f t="shared" si="2"/>
        <v>0.328267477203647</v>
      </c>
      <c r="H25" s="99">
        <f t="shared" si="2"/>
        <v>0.344370708504354</v>
      </c>
      <c r="I25" s="99">
        <f t="shared" si="2"/>
        <v>0.335</v>
      </c>
      <c r="J25" s="99">
        <f t="shared" si="2"/>
        <v>0.342</v>
      </c>
      <c r="K25" s="99">
        <f t="shared" si="2"/>
        <v>0.349</v>
      </c>
      <c r="L25" s="99">
        <f t="shared" si="2"/>
        <v>0.354</v>
      </c>
      <c r="M25" s="99">
        <f t="shared" si="2"/>
        <v>0.358</v>
      </c>
    </row>
    <row r="27" ht="18" customHeight="1" spans="3:13">
      <c r="C27" s="64" t="s">
        <v>120</v>
      </c>
      <c r="D27" s="80">
        <v>803</v>
      </c>
      <c r="E27" s="80">
        <v>258</v>
      </c>
      <c r="F27" s="80">
        <v>-334</v>
      </c>
      <c r="G27" s="80">
        <v>-565</v>
      </c>
      <c r="H27" s="80">
        <v>269</v>
      </c>
      <c r="I27" s="108">
        <v>300</v>
      </c>
      <c r="J27" s="108">
        <v>300</v>
      </c>
      <c r="K27" s="108">
        <v>300</v>
      </c>
      <c r="L27" s="108">
        <v>300</v>
      </c>
      <c r="M27" s="108">
        <v>300</v>
      </c>
    </row>
    <row r="28" ht="18" customHeight="1" spans="3:13">
      <c r="C28" s="97" t="s">
        <v>121</v>
      </c>
      <c r="D28" s="107">
        <v>67091</v>
      </c>
      <c r="E28" s="107">
        <v>109207</v>
      </c>
      <c r="F28" s="107">
        <v>119103</v>
      </c>
      <c r="G28" s="107">
        <v>113736</v>
      </c>
      <c r="H28" s="107">
        <v>123485</v>
      </c>
      <c r="I28" s="107">
        <f>I20+I27</f>
        <v>140423.89045</v>
      </c>
      <c r="J28" s="107">
        <f>J20+J27</f>
        <v>154908.2012196</v>
      </c>
      <c r="K28" s="107">
        <f>K20+K27</f>
        <v>172575.65189577</v>
      </c>
      <c r="L28" s="107">
        <f>L20+L27</f>
        <v>191310.532967624</v>
      </c>
      <c r="M28" s="107">
        <f>M20+M27</f>
        <v>213028.126565859</v>
      </c>
    </row>
    <row r="29" ht="18" customHeight="1" spans="3:13">
      <c r="C29" s="64" t="s">
        <v>122</v>
      </c>
      <c r="D29" s="80">
        <v>9680</v>
      </c>
      <c r="E29" s="80">
        <v>14527</v>
      </c>
      <c r="F29" s="80">
        <v>19300</v>
      </c>
      <c r="G29" s="80">
        <v>18387</v>
      </c>
      <c r="H29" s="80">
        <v>29749</v>
      </c>
      <c r="I29" s="72">
        <f>I28*Assumptions!C14</f>
        <v>21204.00745795</v>
      </c>
      <c r="J29" s="72">
        <f>J28*Assumptions!D14</f>
        <v>23391.1383841596</v>
      </c>
      <c r="K29" s="72">
        <f>K28*Assumptions!E14</f>
        <v>26058.9234362613</v>
      </c>
      <c r="L29" s="72">
        <f>L28*Assumptions!F14</f>
        <v>28887.8904781112</v>
      </c>
      <c r="M29" s="72">
        <f>M28*Assumptions!G14</f>
        <v>32167.2471114446</v>
      </c>
    </row>
    <row r="30" ht="18" customHeight="1" spans="3:13">
      <c r="C30" s="74" t="s">
        <v>123</v>
      </c>
      <c r="D30" s="96">
        <v>57411</v>
      </c>
      <c r="E30" s="96">
        <v>94680</v>
      </c>
      <c r="F30" s="96">
        <v>99803</v>
      </c>
      <c r="G30" s="96">
        <v>96995</v>
      </c>
      <c r="H30" s="96">
        <v>93736</v>
      </c>
      <c r="I30" s="96">
        <f>I28-I29</f>
        <v>119219.88299205</v>
      </c>
      <c r="J30" s="96">
        <f>J28-J29</f>
        <v>131517.06283544</v>
      </c>
      <c r="K30" s="96">
        <f>K28-K29</f>
        <v>146516.728459509</v>
      </c>
      <c r="L30" s="96">
        <f>L28-L29</f>
        <v>162422.642489513</v>
      </c>
      <c r="M30" s="96">
        <f>M28-M29</f>
        <v>180860.879454414</v>
      </c>
    </row>
    <row r="31" ht="18" customHeight="1" spans="3:13">
      <c r="C31" s="64" t="s">
        <v>124</v>
      </c>
      <c r="D31" s="99">
        <f t="shared" ref="D31:M31" si="3">D30/D8</f>
        <v>0.209136112780722</v>
      </c>
      <c r="E31" s="99">
        <f t="shared" si="3"/>
        <v>0.258817933556942</v>
      </c>
      <c r="F31" s="99">
        <f t="shared" si="3"/>
        <v>0.253096407051997</v>
      </c>
      <c r="G31" s="99">
        <f t="shared" si="3"/>
        <v>0.253062342643203</v>
      </c>
      <c r="H31" s="99">
        <f t="shared" si="3"/>
        <v>0.239712557699439</v>
      </c>
      <c r="I31" s="99">
        <f t="shared" si="3"/>
        <v>0.285023921859977</v>
      </c>
      <c r="J31" s="99">
        <f t="shared" si="3"/>
        <v>0.290921407369809</v>
      </c>
      <c r="K31" s="99">
        <f t="shared" si="3"/>
        <v>0.296816977150699</v>
      </c>
      <c r="L31" s="99">
        <f t="shared" si="3"/>
        <v>0.30101803574902</v>
      </c>
      <c r="M31" s="99">
        <f t="shared" si="3"/>
        <v>0.304370634433406</v>
      </c>
    </row>
    <row r="32" ht="18" customHeight="1" spans="3:13">
      <c r="C32" s="76" t="s">
        <v>125</v>
      </c>
      <c r="D32" s="109" t="s">
        <v>126</v>
      </c>
      <c r="E32" s="99">
        <f t="shared" ref="E32:M32" si="4">(E8-D8)/D8</f>
        <v>0.332593847330747</v>
      </c>
      <c r="F32" s="99">
        <f t="shared" si="4"/>
        <v>0.0779378760418461</v>
      </c>
      <c r="G32" s="99">
        <f t="shared" si="4"/>
        <v>-0.0280046053031994</v>
      </c>
      <c r="H32" s="99">
        <f t="shared" si="4"/>
        <v>0.0202199407751412</v>
      </c>
      <c r="I32" s="99">
        <f t="shared" si="4"/>
        <v>0.0696747605713043</v>
      </c>
      <c r="J32" s="99">
        <f t="shared" si="4"/>
        <v>0.0807843358234422</v>
      </c>
      <c r="K32" s="99">
        <f t="shared" si="4"/>
        <v>0.091923099783521</v>
      </c>
      <c r="L32" s="99">
        <f t="shared" si="4"/>
        <v>0.093089139478822</v>
      </c>
      <c r="M32" s="99">
        <f t="shared" si="4"/>
        <v>0.1012548508273</v>
      </c>
    </row>
  </sheetData>
  <mergeCells count="3">
    <mergeCell ref="C1:M1"/>
    <mergeCell ref="D3:H3"/>
    <mergeCell ref="I3:M3"/>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C1:M35"/>
  <sheetViews>
    <sheetView showGridLines="0" workbookViewId="0">
      <selection activeCell="A1" sqref="A1"/>
    </sheetView>
  </sheetViews>
  <sheetFormatPr defaultColWidth="8.67592592592593" defaultRowHeight="14.4"/>
  <cols>
    <col min="1" max="1" width="2" style="1" customWidth="1"/>
    <col min="2" max="2" width="1" style="1" customWidth="1"/>
    <col min="3" max="3" width="36" style="1" customWidth="1"/>
    <col min="4" max="13" width="13" style="1" customWidth="1"/>
    <col min="14" max="14" width="2" style="1" customWidth="1"/>
  </cols>
  <sheetData>
    <row r="1" ht="30" customHeight="1" spans="3:13">
      <c r="C1" s="3" t="s">
        <v>127</v>
      </c>
      <c r="D1" s="3"/>
      <c r="E1" s="3"/>
      <c r="F1" s="3"/>
      <c r="G1" s="3"/>
      <c r="H1" s="3"/>
      <c r="I1" s="3"/>
      <c r="J1" s="3"/>
      <c r="K1" s="3"/>
      <c r="L1" s="3"/>
      <c r="M1" s="3"/>
    </row>
    <row r="3" ht="15.75" customHeight="1" spans="3:13">
      <c r="D3" s="86" t="s">
        <v>95</v>
      </c>
      <c r="E3" s="86"/>
      <c r="F3" s="86"/>
      <c r="G3" s="86"/>
      <c r="H3" s="86"/>
      <c r="I3" s="87" t="s">
        <v>96</v>
      </c>
      <c r="J3" s="87"/>
      <c r="K3" s="87"/>
      <c r="L3" s="87"/>
      <c r="M3" s="87"/>
    </row>
    <row r="4" ht="21.75" customHeight="1" spans="3:13">
      <c r="C4" s="88" t="s">
        <v>128</v>
      </c>
      <c r="D4" s="89" t="s">
        <v>98</v>
      </c>
      <c r="E4" s="89" t="s">
        <v>99</v>
      </c>
      <c r="F4" s="89" t="s">
        <v>100</v>
      </c>
      <c r="G4" s="89" t="s">
        <v>101</v>
      </c>
      <c r="H4" s="89" t="s">
        <v>102</v>
      </c>
      <c r="I4" s="70" t="s">
        <v>49</v>
      </c>
      <c r="J4" s="70" t="s">
        <v>50</v>
      </c>
      <c r="K4" s="70" t="s">
        <v>51</v>
      </c>
      <c r="L4" s="70" t="s">
        <v>52</v>
      </c>
      <c r="M4" s="70" t="s">
        <v>53</v>
      </c>
    </row>
    <row r="5" ht="18" customHeight="1" spans="3:13">
      <c r="C5" s="94" t="s">
        <v>129</v>
      </c>
      <c r="D5" s="95"/>
      <c r="E5" s="95"/>
      <c r="F5" s="95"/>
      <c r="G5" s="95"/>
      <c r="H5" s="95"/>
      <c r="I5" s="95"/>
      <c r="J5" s="95"/>
      <c r="K5" s="95"/>
      <c r="L5" s="95"/>
      <c r="M5" s="95"/>
    </row>
    <row r="6" ht="18" customHeight="1" spans="3:13">
      <c r="C6" s="100" t="s">
        <v>130</v>
      </c>
      <c r="D6" s="101"/>
      <c r="E6" s="101"/>
      <c r="F6" s="101"/>
      <c r="G6" s="101"/>
      <c r="H6" s="101"/>
      <c r="I6" s="101"/>
      <c r="J6" s="101"/>
      <c r="K6" s="101"/>
      <c r="L6" s="101"/>
      <c r="M6" s="101"/>
    </row>
    <row r="7" ht="18" customHeight="1" spans="3:13">
      <c r="C7" s="64" t="s">
        <v>131</v>
      </c>
      <c r="D7" s="80">
        <v>38016</v>
      </c>
      <c r="E7" s="80">
        <v>34940</v>
      </c>
      <c r="F7" s="80">
        <v>23646</v>
      </c>
      <c r="G7" s="80">
        <v>29965</v>
      </c>
      <c r="H7" s="80">
        <v>29943</v>
      </c>
      <c r="I7" s="71">
        <v>29943</v>
      </c>
      <c r="J7" s="71">
        <v>29943</v>
      </c>
      <c r="K7" s="71">
        <v>29943</v>
      </c>
      <c r="L7" s="71">
        <v>29943</v>
      </c>
      <c r="M7" s="71">
        <v>29943</v>
      </c>
    </row>
    <row r="8" ht="18" customHeight="1" spans="3:13">
      <c r="C8" s="64" t="s">
        <v>132</v>
      </c>
      <c r="D8" s="80">
        <v>52927</v>
      </c>
      <c r="E8" s="80">
        <v>27699</v>
      </c>
      <c r="F8" s="80">
        <v>24658</v>
      </c>
      <c r="G8" s="80">
        <v>31590</v>
      </c>
      <c r="H8" s="80">
        <v>35228</v>
      </c>
      <c r="I8" s="71">
        <v>35228</v>
      </c>
      <c r="J8" s="71">
        <v>35228</v>
      </c>
      <c r="K8" s="71">
        <v>35228</v>
      </c>
      <c r="L8" s="71">
        <v>35228</v>
      </c>
      <c r="M8" s="71">
        <v>35228</v>
      </c>
    </row>
    <row r="9" ht="18" customHeight="1" spans="3:13">
      <c r="C9" s="64" t="s">
        <v>133</v>
      </c>
      <c r="D9" s="80">
        <v>16120</v>
      </c>
      <c r="E9" s="80">
        <v>26278</v>
      </c>
      <c r="F9" s="80">
        <v>28184</v>
      </c>
      <c r="G9" s="80">
        <v>29508</v>
      </c>
      <c r="H9" s="80">
        <v>33410</v>
      </c>
      <c r="I9" s="72">
        <f>'Income Statement'!I8/365*Assumptions!C18</f>
        <v>32087.2535890411</v>
      </c>
      <c r="J9" s="72">
        <f>'Income Statement'!J8/365*Assumptions!D18</f>
        <v>34679.4010586301</v>
      </c>
      <c r="K9" s="72">
        <f>'Income Statement'!K8/365*Assumptions!E18</f>
        <v>36514.8377060548</v>
      </c>
      <c r="L9" s="72">
        <f>'Income Statement'!L8/365*Assumptions!F18</f>
        <v>39913.9725263203</v>
      </c>
      <c r="M9" s="72">
        <f>'Income Statement'!M8/365*Assumptions!G18</f>
        <v>42327.4760137164</v>
      </c>
    </row>
    <row r="10" ht="18" customHeight="1" spans="3:13">
      <c r="C10" s="64" t="s">
        <v>134</v>
      </c>
      <c r="D10" s="80">
        <v>4061</v>
      </c>
      <c r="E10" s="80">
        <v>6580</v>
      </c>
      <c r="F10" s="80">
        <v>4946</v>
      </c>
      <c r="G10" s="80">
        <v>6331</v>
      </c>
      <c r="H10" s="80">
        <v>7286</v>
      </c>
      <c r="I10" s="72">
        <f>'Income Statement'!I8/365*Assumptions!C19</f>
        <v>8021.81339726027</v>
      </c>
      <c r="J10" s="72">
        <f>'Income Statement'!J8/365*Assumptions!D19</f>
        <v>8669.85026465753</v>
      </c>
      <c r="K10" s="72">
        <f>'Income Statement'!K8/365*Assumptions!E19</f>
        <v>9466.80977564383</v>
      </c>
      <c r="L10" s="72">
        <f>'Income Statement'!L8/365*Assumptions!F19</f>
        <v>9608.91931189192</v>
      </c>
      <c r="M10" s="72">
        <f>'Income Statement'!M8/365*Assumptions!G19</f>
        <v>10581.8690034291</v>
      </c>
    </row>
    <row r="11" ht="18" customHeight="1" spans="3:13">
      <c r="C11" s="64" t="s">
        <v>135</v>
      </c>
      <c r="D11" s="80">
        <v>11264</v>
      </c>
      <c r="E11" s="80">
        <v>14111</v>
      </c>
      <c r="F11" s="80">
        <v>16823</v>
      </c>
      <c r="G11" s="80">
        <v>14695</v>
      </c>
      <c r="H11" s="80">
        <v>14646</v>
      </c>
      <c r="I11" s="71">
        <v>14646</v>
      </c>
      <c r="J11" s="71">
        <v>14646</v>
      </c>
      <c r="K11" s="71">
        <v>14646</v>
      </c>
      <c r="L11" s="71">
        <v>14646</v>
      </c>
      <c r="M11" s="71">
        <v>14646</v>
      </c>
    </row>
    <row r="12" ht="18" customHeight="1" spans="3:13">
      <c r="C12" s="97" t="s">
        <v>136</v>
      </c>
      <c r="D12" s="98">
        <v>143713</v>
      </c>
      <c r="E12" s="98">
        <v>134836</v>
      </c>
      <c r="F12" s="98">
        <v>135405</v>
      </c>
      <c r="G12" s="98">
        <v>143566</v>
      </c>
      <c r="H12" s="98">
        <v>153168</v>
      </c>
      <c r="I12" s="98">
        <v>153168</v>
      </c>
      <c r="J12" s="98">
        <v>153168</v>
      </c>
      <c r="K12" s="98">
        <v>153168</v>
      </c>
      <c r="L12" s="98">
        <v>153168</v>
      </c>
      <c r="M12" s="98">
        <v>153168</v>
      </c>
    </row>
    <row r="13" ht="18" customHeight="1" spans="3:13">
      <c r="C13" s="100" t="s">
        <v>137</v>
      </c>
      <c r="D13" s="101"/>
      <c r="E13" s="101"/>
      <c r="F13" s="101"/>
      <c r="G13" s="101"/>
      <c r="H13" s="101"/>
      <c r="I13" s="101"/>
      <c r="J13" s="101"/>
      <c r="K13" s="101"/>
      <c r="L13" s="101"/>
      <c r="M13" s="101"/>
    </row>
    <row r="14" ht="18" customHeight="1" spans="3:13">
      <c r="C14" s="64" t="s">
        <v>138</v>
      </c>
      <c r="D14" s="80">
        <v>36766</v>
      </c>
      <c r="E14" s="80">
        <v>39440</v>
      </c>
      <c r="F14" s="80">
        <v>42117</v>
      </c>
      <c r="G14" s="80">
        <v>43715</v>
      </c>
      <c r="H14" s="80">
        <v>45680</v>
      </c>
      <c r="I14" s="72">
        <f>H14+'Income Statement'!I8*Assumptions!C22-'Income Statement'!I8*Assumptions!C23</f>
        <v>56555.28702</v>
      </c>
      <c r="J14" s="72">
        <f>I14+'Income Statement'!J8*Assumptions!D22-'Income Statement'!J8*Assumptions!D23</f>
        <v>68309.1268788</v>
      </c>
      <c r="K14" s="72">
        <f>J14+'Income Statement'!K8*Assumptions!E22-'Income Statement'!K8*Assumptions!E23</f>
        <v>80649.78962205</v>
      </c>
      <c r="L14" s="72">
        <f>K14+'Income Statement'!L8*Assumptions!F22-'Income Statement'!L8*Assumptions!F23</f>
        <v>94139.2340406675</v>
      </c>
      <c r="M14" s="72">
        <f>L14+'Income Statement'!M8*Assumptions!G22-'Income Statement'!M8*Assumptions!G23</f>
        <v>108400.337497597</v>
      </c>
    </row>
    <row r="15" ht="18" customHeight="1" spans="3:13">
      <c r="C15" s="64" t="s">
        <v>139</v>
      </c>
      <c r="D15" s="80">
        <v>100887</v>
      </c>
      <c r="E15" s="80">
        <v>127877</v>
      </c>
      <c r="F15" s="80">
        <v>120805</v>
      </c>
      <c r="G15" s="80">
        <v>100544</v>
      </c>
      <c r="H15" s="80">
        <v>91479</v>
      </c>
      <c r="I15" s="71">
        <v>91479</v>
      </c>
      <c r="J15" s="71">
        <v>91479</v>
      </c>
      <c r="K15" s="71">
        <v>91479</v>
      </c>
      <c r="L15" s="71">
        <v>91479</v>
      </c>
      <c r="M15" s="71">
        <v>91479</v>
      </c>
    </row>
    <row r="16" ht="18" customHeight="1" spans="3:13">
      <c r="C16" s="64" t="s">
        <v>140</v>
      </c>
      <c r="D16" s="80">
        <v>42522</v>
      </c>
      <c r="E16" s="80">
        <v>48849</v>
      </c>
      <c r="F16" s="80">
        <v>54428</v>
      </c>
      <c r="G16" s="80">
        <v>64758</v>
      </c>
      <c r="H16" s="80">
        <v>73140</v>
      </c>
      <c r="I16" s="71">
        <v>73140</v>
      </c>
      <c r="J16" s="71">
        <v>73140</v>
      </c>
      <c r="K16" s="71">
        <v>73140</v>
      </c>
      <c r="L16" s="71">
        <v>73140</v>
      </c>
      <c r="M16" s="71">
        <v>73140</v>
      </c>
    </row>
    <row r="17" ht="18" customHeight="1" spans="3:13">
      <c r="C17" s="97" t="s">
        <v>141</v>
      </c>
      <c r="D17" s="98">
        <v>323888</v>
      </c>
      <c r="E17" s="98">
        <v>351002</v>
      </c>
      <c r="F17" s="98">
        <v>352755</v>
      </c>
      <c r="G17" s="98">
        <v>352583</v>
      </c>
      <c r="H17" s="98">
        <v>364980</v>
      </c>
      <c r="I17" s="98">
        <v>364980</v>
      </c>
      <c r="J17" s="98">
        <v>364980</v>
      </c>
      <c r="K17" s="98">
        <v>364980</v>
      </c>
      <c r="L17" s="98">
        <v>364980</v>
      </c>
      <c r="M17" s="98">
        <v>364980</v>
      </c>
    </row>
    <row r="19" ht="18" customHeight="1" spans="3:13">
      <c r="C19" s="94" t="s">
        <v>142</v>
      </c>
      <c r="D19" s="95"/>
      <c r="E19" s="95"/>
      <c r="F19" s="95"/>
      <c r="G19" s="95"/>
      <c r="H19" s="95"/>
      <c r="I19" s="95"/>
      <c r="J19" s="95"/>
      <c r="K19" s="95"/>
      <c r="L19" s="95"/>
      <c r="M19" s="95"/>
    </row>
    <row r="20" ht="18" customHeight="1" spans="3:13">
      <c r="C20" s="100" t="s">
        <v>143</v>
      </c>
      <c r="D20" s="101"/>
      <c r="E20" s="101"/>
      <c r="F20" s="101"/>
      <c r="G20" s="101"/>
      <c r="H20" s="101"/>
      <c r="I20" s="101"/>
      <c r="J20" s="101"/>
      <c r="K20" s="101"/>
      <c r="L20" s="101"/>
      <c r="M20" s="101"/>
    </row>
    <row r="21" ht="18" customHeight="1" spans="3:13">
      <c r="C21" s="64" t="s">
        <v>144</v>
      </c>
      <c r="D21" s="80">
        <v>42296</v>
      </c>
      <c r="E21" s="80">
        <v>54763</v>
      </c>
      <c r="F21" s="80">
        <v>64115</v>
      </c>
      <c r="G21" s="80">
        <v>62611</v>
      </c>
      <c r="H21" s="80">
        <v>68960</v>
      </c>
      <c r="I21" s="72">
        <f>'Income Statement'!I11/365*Assumptions!C20</f>
        <v>55178.616439726</v>
      </c>
      <c r="J21" s="72">
        <f>'Income Statement'!J11/365*Assumptions!D20</f>
        <v>59078.8368034521</v>
      </c>
      <c r="K21" s="72">
        <f>'Income Statement'!K11/365*Assumptions!E20</f>
        <v>65320.9874519425</v>
      </c>
      <c r="L21" s="72">
        <f>'Income Statement'!L11/365*Assumptions!F20</f>
        <v>70993.652466815</v>
      </c>
      <c r="M21" s="72">
        <f>'Income Statement'!M11/365*Assumptions!G20</f>
        <v>79575.6549057868</v>
      </c>
    </row>
    <row r="22" ht="18" customHeight="1" spans="3:13">
      <c r="C22" s="64" t="s">
        <v>145</v>
      </c>
      <c r="D22" s="80">
        <v>47867</v>
      </c>
      <c r="E22" s="80">
        <v>47493</v>
      </c>
      <c r="F22" s="80">
        <v>60845</v>
      </c>
      <c r="G22" s="80">
        <v>58829</v>
      </c>
      <c r="H22" s="80">
        <v>57103</v>
      </c>
      <c r="I22" s="71">
        <v>57103</v>
      </c>
      <c r="J22" s="71">
        <v>57103</v>
      </c>
      <c r="K22" s="71">
        <v>57103</v>
      </c>
      <c r="L22" s="71">
        <v>57103</v>
      </c>
      <c r="M22" s="71">
        <v>57103</v>
      </c>
    </row>
    <row r="23" ht="18" customHeight="1" spans="3:13">
      <c r="C23" s="97" t="s">
        <v>146</v>
      </c>
      <c r="D23" s="98">
        <v>105392</v>
      </c>
      <c r="E23" s="98">
        <v>125481</v>
      </c>
      <c r="F23" s="98">
        <v>153982</v>
      </c>
      <c r="G23" s="98">
        <v>145308</v>
      </c>
      <c r="H23" s="98">
        <v>176392</v>
      </c>
      <c r="I23" s="98">
        <v>176392</v>
      </c>
      <c r="J23" s="98">
        <v>176392</v>
      </c>
      <c r="K23" s="98">
        <v>176392</v>
      </c>
      <c r="L23" s="98">
        <v>176392</v>
      </c>
      <c r="M23" s="98">
        <v>176392</v>
      </c>
    </row>
    <row r="24" ht="18" customHeight="1" spans="3:13">
      <c r="C24" s="100" t="s">
        <v>147</v>
      </c>
      <c r="D24" s="101"/>
      <c r="E24" s="101"/>
      <c r="F24" s="101"/>
      <c r="G24" s="101"/>
      <c r="H24" s="101"/>
      <c r="I24" s="101"/>
      <c r="J24" s="101"/>
      <c r="K24" s="101"/>
      <c r="L24" s="101"/>
      <c r="M24" s="101"/>
    </row>
    <row r="25" ht="18" customHeight="1" spans="3:13">
      <c r="C25" s="64" t="s">
        <v>148</v>
      </c>
      <c r="D25" s="80">
        <v>98667</v>
      </c>
      <c r="E25" s="80">
        <v>109106</v>
      </c>
      <c r="F25" s="80">
        <v>98959</v>
      </c>
      <c r="G25" s="80">
        <v>95281</v>
      </c>
      <c r="H25" s="80">
        <v>85750</v>
      </c>
      <c r="I25" s="71">
        <v>85750</v>
      </c>
      <c r="J25" s="71">
        <v>85750</v>
      </c>
      <c r="K25" s="71">
        <v>85750</v>
      </c>
      <c r="L25" s="71">
        <v>85750</v>
      </c>
      <c r="M25" s="71">
        <v>85750</v>
      </c>
    </row>
    <row r="26" ht="18" customHeight="1" spans="3:13">
      <c r="C26" s="64" t="s">
        <v>149</v>
      </c>
      <c r="D26" s="80">
        <v>54490</v>
      </c>
      <c r="E26" s="80">
        <v>53394</v>
      </c>
      <c r="F26" s="80">
        <v>49142</v>
      </c>
      <c r="G26" s="80">
        <v>49848</v>
      </c>
      <c r="H26" s="80">
        <v>45888</v>
      </c>
      <c r="I26" s="71">
        <v>45888</v>
      </c>
      <c r="J26" s="71">
        <v>45888</v>
      </c>
      <c r="K26" s="71">
        <v>45888</v>
      </c>
      <c r="L26" s="71">
        <v>45888</v>
      </c>
      <c r="M26" s="71">
        <v>45888</v>
      </c>
    </row>
    <row r="27" ht="18" customHeight="1" spans="3:13">
      <c r="C27" s="97" t="s">
        <v>150</v>
      </c>
      <c r="D27" s="98">
        <v>258549</v>
      </c>
      <c r="E27" s="98">
        <v>287912</v>
      </c>
      <c r="F27" s="98">
        <v>302083</v>
      </c>
      <c r="G27" s="98">
        <v>290437</v>
      </c>
      <c r="H27" s="98">
        <v>308030</v>
      </c>
      <c r="I27" s="98">
        <v>308030</v>
      </c>
      <c r="J27" s="98">
        <v>308030</v>
      </c>
      <c r="K27" s="98">
        <v>308030</v>
      </c>
      <c r="L27" s="98">
        <v>308030</v>
      </c>
      <c r="M27" s="98">
        <v>308030</v>
      </c>
    </row>
    <row r="29" ht="18" customHeight="1" spans="3:13">
      <c r="C29" s="94" t="s">
        <v>151</v>
      </c>
      <c r="D29" s="95"/>
      <c r="E29" s="95"/>
      <c r="F29" s="95"/>
      <c r="G29" s="95"/>
      <c r="H29" s="95"/>
      <c r="I29" s="95"/>
      <c r="J29" s="95"/>
      <c r="K29" s="95"/>
      <c r="L29" s="95"/>
      <c r="M29" s="95"/>
    </row>
    <row r="30" ht="18" customHeight="1" spans="3:13">
      <c r="C30" s="64" t="s">
        <v>152</v>
      </c>
      <c r="D30" s="80">
        <v>50779</v>
      </c>
      <c r="E30" s="80">
        <v>57365</v>
      </c>
      <c r="F30" s="80">
        <v>64849</v>
      </c>
      <c r="G30" s="80">
        <v>73812</v>
      </c>
      <c r="H30" s="80">
        <v>83276</v>
      </c>
      <c r="I30" s="71">
        <v>83276</v>
      </c>
      <c r="J30" s="71">
        <v>83276</v>
      </c>
      <c r="K30" s="71">
        <v>83276</v>
      </c>
      <c r="L30" s="71">
        <v>83276</v>
      </c>
      <c r="M30" s="71">
        <v>83276</v>
      </c>
    </row>
    <row r="31" ht="18" customHeight="1" spans="3:13">
      <c r="C31" s="64" t="s">
        <v>153</v>
      </c>
      <c r="D31" s="80">
        <v>14966</v>
      </c>
      <c r="E31" s="80">
        <v>5562</v>
      </c>
      <c r="F31" s="80">
        <v>-3068</v>
      </c>
      <c r="G31" s="80">
        <v>-214</v>
      </c>
      <c r="H31" s="80">
        <v>-19154</v>
      </c>
      <c r="I31" s="71">
        <v>-19154</v>
      </c>
      <c r="J31" s="71">
        <v>-19154</v>
      </c>
      <c r="K31" s="71">
        <v>-19154</v>
      </c>
      <c r="L31" s="71">
        <v>-19154</v>
      </c>
      <c r="M31" s="71">
        <v>-19154</v>
      </c>
    </row>
    <row r="32" ht="18" customHeight="1" spans="3:13">
      <c r="C32" s="64" t="s">
        <v>154</v>
      </c>
      <c r="D32" s="80">
        <v>-406</v>
      </c>
      <c r="E32" s="80">
        <v>163</v>
      </c>
      <c r="F32" s="80">
        <v>-11109</v>
      </c>
      <c r="G32" s="80">
        <v>-11452</v>
      </c>
      <c r="H32" s="80">
        <v>-7453</v>
      </c>
      <c r="I32" s="71">
        <v>-7453</v>
      </c>
      <c r="J32" s="71">
        <v>-7453</v>
      </c>
      <c r="K32" s="71">
        <v>-7453</v>
      </c>
      <c r="L32" s="71">
        <v>-7453</v>
      </c>
      <c r="M32" s="71">
        <v>-7453</v>
      </c>
    </row>
    <row r="33" ht="18" customHeight="1" spans="3:13">
      <c r="C33" s="74" t="s">
        <v>155</v>
      </c>
      <c r="D33" s="96">
        <v>65339</v>
      </c>
      <c r="E33" s="96">
        <v>63090</v>
      </c>
      <c r="F33" s="96">
        <v>50672</v>
      </c>
      <c r="G33" s="96">
        <v>62146</v>
      </c>
      <c r="H33" s="96">
        <v>56950</v>
      </c>
      <c r="I33" s="96">
        <v>56950</v>
      </c>
      <c r="J33" s="96">
        <v>56950</v>
      </c>
      <c r="K33" s="96">
        <v>56950</v>
      </c>
      <c r="L33" s="96">
        <v>56950</v>
      </c>
      <c r="M33" s="96">
        <v>56950</v>
      </c>
    </row>
    <row r="35" ht="18" customHeight="1" spans="3:13">
      <c r="C35" s="102" t="s">
        <v>156</v>
      </c>
      <c r="D35" s="103">
        <f>D17-D27-D33</f>
        <v>0</v>
      </c>
      <c r="E35" s="103">
        <f>E17-E27-E33</f>
        <v>0</v>
      </c>
      <c r="F35" s="103">
        <f>F17-F27-F33</f>
        <v>0</v>
      </c>
      <c r="G35" s="103">
        <f>G17-G27-G33</f>
        <v>0</v>
      </c>
      <c r="H35" s="103">
        <f>H17-H27-H33</f>
        <v>0</v>
      </c>
      <c r="I35" s="104"/>
      <c r="J35" s="104"/>
      <c r="K35" s="104"/>
      <c r="L35" s="104"/>
      <c r="M35" s="104"/>
    </row>
  </sheetData>
  <mergeCells count="3">
    <mergeCell ref="C1:M1"/>
    <mergeCell ref="D3:H3"/>
    <mergeCell ref="I3:M3"/>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C1:M28"/>
  <sheetViews>
    <sheetView showGridLines="0" workbookViewId="0">
      <selection activeCell="A1" sqref="A1"/>
    </sheetView>
  </sheetViews>
  <sheetFormatPr defaultColWidth="8.67592592592593" defaultRowHeight="14.4"/>
  <cols>
    <col min="1" max="1" width="2" style="1" customWidth="1"/>
    <col min="2" max="2" width="1" style="1" customWidth="1"/>
    <col min="3" max="3" width="36" style="1" customWidth="1"/>
    <col min="4" max="13" width="13" style="1" customWidth="1"/>
    <col min="14" max="14" width="2" style="1" customWidth="1"/>
  </cols>
  <sheetData>
    <row r="1" ht="30" customHeight="1" spans="3:13">
      <c r="C1" s="3" t="s">
        <v>157</v>
      </c>
      <c r="D1" s="3"/>
      <c r="E1" s="3"/>
      <c r="F1" s="3"/>
      <c r="G1" s="3"/>
      <c r="H1" s="3"/>
      <c r="I1" s="3"/>
      <c r="J1" s="3"/>
      <c r="K1" s="3"/>
      <c r="L1" s="3"/>
      <c r="M1" s="3"/>
    </row>
    <row r="3" ht="15.75" customHeight="1" spans="3:13">
      <c r="D3" s="86" t="s">
        <v>95</v>
      </c>
      <c r="E3" s="86"/>
      <c r="F3" s="86"/>
      <c r="G3" s="86"/>
      <c r="H3" s="86"/>
      <c r="I3" s="87" t="s">
        <v>96</v>
      </c>
      <c r="J3" s="87"/>
      <c r="K3" s="87"/>
      <c r="L3" s="87"/>
      <c r="M3" s="87"/>
    </row>
    <row r="4" ht="21.75" customHeight="1" spans="3:13">
      <c r="C4" s="88" t="s">
        <v>128</v>
      </c>
      <c r="D4" s="89" t="s">
        <v>98</v>
      </c>
      <c r="E4" s="89" t="s">
        <v>99</v>
      </c>
      <c r="F4" s="89" t="s">
        <v>100</v>
      </c>
      <c r="G4" s="89" t="s">
        <v>101</v>
      </c>
      <c r="H4" s="89" t="s">
        <v>102</v>
      </c>
      <c r="I4" s="70" t="s">
        <v>49</v>
      </c>
      <c r="J4" s="70" t="s">
        <v>50</v>
      </c>
      <c r="K4" s="70" t="s">
        <v>51</v>
      </c>
      <c r="L4" s="70" t="s">
        <v>52</v>
      </c>
      <c r="M4" s="70" t="s">
        <v>53</v>
      </c>
    </row>
    <row r="5" ht="18" customHeight="1" spans="3:13">
      <c r="C5" s="94" t="s">
        <v>158</v>
      </c>
      <c r="D5" s="95"/>
      <c r="E5" s="95"/>
      <c r="F5" s="95"/>
      <c r="G5" s="95"/>
      <c r="H5" s="95"/>
      <c r="I5" s="95"/>
      <c r="J5" s="95"/>
      <c r="K5" s="95"/>
      <c r="L5" s="95"/>
      <c r="M5" s="95"/>
    </row>
    <row r="6" ht="18" customHeight="1" spans="3:13">
      <c r="C6" s="64" t="s">
        <v>159</v>
      </c>
      <c r="D6" s="80">
        <v>57411</v>
      </c>
      <c r="E6" s="80">
        <v>94680</v>
      </c>
      <c r="F6" s="80">
        <v>99803</v>
      </c>
      <c r="G6" s="80">
        <v>96995</v>
      </c>
      <c r="H6" s="80">
        <v>93736</v>
      </c>
      <c r="I6" s="72">
        <f>'Income Statement'!I30</f>
        <v>119219.88299205</v>
      </c>
      <c r="J6" s="72">
        <f>'Income Statement'!J30</f>
        <v>131517.06283544</v>
      </c>
      <c r="K6" s="72">
        <f>'Income Statement'!K30</f>
        <v>146516.728459509</v>
      </c>
      <c r="L6" s="72">
        <f>'Income Statement'!L30</f>
        <v>162422.642489513</v>
      </c>
      <c r="M6" s="72">
        <f>'Income Statement'!M30</f>
        <v>180860.879454414</v>
      </c>
    </row>
    <row r="7" ht="18" customHeight="1" spans="3:13">
      <c r="C7" s="64" t="s">
        <v>160</v>
      </c>
      <c r="D7" s="80">
        <v>11056</v>
      </c>
      <c r="E7" s="80">
        <v>11284</v>
      </c>
      <c r="F7" s="80">
        <v>11104</v>
      </c>
      <c r="G7" s="80">
        <v>11519</v>
      </c>
      <c r="H7" s="80">
        <v>11445</v>
      </c>
      <c r="I7" s="72">
        <f>'Income Statement'!I22</f>
        <v>0</v>
      </c>
      <c r="J7" s="72">
        <f>'Income Statement'!J22</f>
        <v>0</v>
      </c>
      <c r="K7" s="72">
        <f>'Income Statement'!K22</f>
        <v>0</v>
      </c>
      <c r="L7" s="72">
        <f>'Income Statement'!L22</f>
        <v>0</v>
      </c>
      <c r="M7" s="72">
        <f>'Income Statement'!M22</f>
        <v>0</v>
      </c>
    </row>
    <row r="8" ht="18" customHeight="1" spans="3:13">
      <c r="C8" s="64" t="s">
        <v>161</v>
      </c>
      <c r="D8" s="80">
        <v>6829</v>
      </c>
      <c r="E8" s="80">
        <v>7906</v>
      </c>
      <c r="F8" s="80">
        <v>9038</v>
      </c>
      <c r="G8" s="80">
        <v>10833</v>
      </c>
      <c r="H8" s="80">
        <v>11688</v>
      </c>
      <c r="I8" s="80">
        <f>H8*1.05</f>
        <v>12272.4</v>
      </c>
      <c r="J8" s="80">
        <f>I8*1.05</f>
        <v>12886.02</v>
      </c>
      <c r="K8" s="80">
        <f>J8*1.05</f>
        <v>13530.321</v>
      </c>
      <c r="L8" s="80">
        <f>K8*1.05</f>
        <v>14206.83705</v>
      </c>
      <c r="M8" s="80">
        <f>L8*1.05</f>
        <v>14917.1789025</v>
      </c>
    </row>
    <row r="9" ht="18" customHeight="1" spans="3:13">
      <c r="C9" s="64" t="s">
        <v>162</v>
      </c>
      <c r="D9" s="80">
        <v>-3911</v>
      </c>
      <c r="E9" s="80">
        <v>-6310</v>
      </c>
      <c r="F9" s="80">
        <v>9343</v>
      </c>
      <c r="G9" s="80">
        <v>-1423</v>
      </c>
      <c r="H9" s="80">
        <v>3651</v>
      </c>
      <c r="I9" s="71">
        <v>2000</v>
      </c>
      <c r="J9" s="71">
        <v>2000</v>
      </c>
      <c r="K9" s="71">
        <v>2000</v>
      </c>
      <c r="L9" s="71">
        <v>2000</v>
      </c>
      <c r="M9" s="71">
        <v>2000</v>
      </c>
    </row>
    <row r="10" ht="18" customHeight="1" spans="3:13">
      <c r="C10" s="64" t="s">
        <v>163</v>
      </c>
      <c r="D10" s="80">
        <v>5717</v>
      </c>
      <c r="E10" s="80">
        <v>2985</v>
      </c>
      <c r="F10" s="80">
        <v>3219</v>
      </c>
      <c r="G10" s="80">
        <v>1346</v>
      </c>
      <c r="H10" s="80">
        <v>2266</v>
      </c>
      <c r="I10" s="71">
        <v>2000</v>
      </c>
      <c r="J10" s="71">
        <v>2000</v>
      </c>
      <c r="K10" s="71">
        <v>2000</v>
      </c>
      <c r="L10" s="71">
        <v>2000</v>
      </c>
      <c r="M10" s="71">
        <v>2000</v>
      </c>
    </row>
    <row r="11" ht="18" customHeight="1" spans="3:13">
      <c r="C11" s="74" t="s">
        <v>164</v>
      </c>
      <c r="D11" s="96">
        <v>80674</v>
      </c>
      <c r="E11" s="96">
        <v>104038</v>
      </c>
      <c r="F11" s="96">
        <v>122151</v>
      </c>
      <c r="G11" s="96">
        <v>110543</v>
      </c>
      <c r="H11" s="96">
        <v>118254</v>
      </c>
      <c r="I11" s="96">
        <f>I6+I7+I8+I9+I10</f>
        <v>135492.28299205</v>
      </c>
      <c r="J11" s="96">
        <f>J6+J7+J8+J9+J10</f>
        <v>148403.08283544</v>
      </c>
      <c r="K11" s="96">
        <f>K6+K7+K8+K9+K10</f>
        <v>164047.049459509</v>
      </c>
      <c r="L11" s="96">
        <f>L6+L7+L8+L9+L10</f>
        <v>180629.479539513</v>
      </c>
      <c r="M11" s="96">
        <f>M6+M7+M8+M9+M10</f>
        <v>199778.058356914</v>
      </c>
    </row>
    <row r="13" ht="18" customHeight="1" spans="3:13">
      <c r="C13" s="94" t="s">
        <v>165</v>
      </c>
      <c r="D13" s="95"/>
      <c r="E13" s="95"/>
      <c r="F13" s="95"/>
      <c r="G13" s="95"/>
      <c r="H13" s="95"/>
      <c r="I13" s="95"/>
      <c r="J13" s="95"/>
      <c r="K13" s="95"/>
      <c r="L13" s="95"/>
      <c r="M13" s="95"/>
    </row>
    <row r="14" ht="18" customHeight="1" spans="3:13">
      <c r="C14" s="64" t="s">
        <v>166</v>
      </c>
      <c r="D14" s="80">
        <v>-7309</v>
      </c>
      <c r="E14" s="80">
        <v>-11085</v>
      </c>
      <c r="F14" s="80">
        <v>-10708</v>
      </c>
      <c r="G14" s="80">
        <v>-10959</v>
      </c>
      <c r="H14" s="80">
        <v>-9447</v>
      </c>
      <c r="I14" s="72">
        <f>-'Income Statement'!I8*Assumptions!C22</f>
        <v>-10875.28702</v>
      </c>
      <c r="J14" s="72">
        <f>-'Income Statement'!J8*Assumptions!D22</f>
        <v>-11753.8398588</v>
      </c>
      <c r="K14" s="72">
        <f>-'Income Statement'!K8*Assumptions!E22</f>
        <v>-12340.66274325</v>
      </c>
      <c r="L14" s="72">
        <f>-'Income Statement'!L8*Assumptions!F22</f>
        <v>-13489.4444186175</v>
      </c>
      <c r="M14" s="72">
        <f>-'Income Statement'!M8*Assumptions!G22</f>
        <v>-14261.1034569291</v>
      </c>
    </row>
    <row r="15" ht="18" customHeight="1" spans="3:13">
      <c r="C15" s="64" t="s">
        <v>167</v>
      </c>
      <c r="D15" s="80">
        <v>-114938</v>
      </c>
      <c r="E15" s="80">
        <v>-109689</v>
      </c>
      <c r="F15" s="80">
        <v>-76923</v>
      </c>
      <c r="G15" s="80">
        <v>-31305</v>
      </c>
      <c r="H15" s="80">
        <v>-48656</v>
      </c>
      <c r="I15" s="71">
        <v>-48656</v>
      </c>
      <c r="J15" s="71">
        <v>-48656</v>
      </c>
      <c r="K15" s="71">
        <v>-48656</v>
      </c>
      <c r="L15" s="71">
        <v>-48656</v>
      </c>
      <c r="M15" s="71">
        <v>-48656</v>
      </c>
    </row>
    <row r="16" ht="18" customHeight="1" spans="3:13">
      <c r="C16" s="64" t="s">
        <v>168</v>
      </c>
      <c r="D16" s="80">
        <v>120483</v>
      </c>
      <c r="E16" s="80">
        <v>106838</v>
      </c>
      <c r="F16" s="80">
        <v>67363</v>
      </c>
      <c r="G16" s="80">
        <v>45918</v>
      </c>
      <c r="H16" s="80">
        <v>62346</v>
      </c>
      <c r="I16" s="71">
        <v>62346</v>
      </c>
      <c r="J16" s="71">
        <v>62346</v>
      </c>
      <c r="K16" s="71">
        <v>62346</v>
      </c>
      <c r="L16" s="71">
        <v>62346</v>
      </c>
      <c r="M16" s="71">
        <v>62346</v>
      </c>
    </row>
    <row r="17" ht="18" customHeight="1" spans="3:13">
      <c r="C17" s="64" t="s">
        <v>169</v>
      </c>
      <c r="D17" s="80">
        <v>-1173</v>
      </c>
      <c r="E17" s="80">
        <v>-2236</v>
      </c>
      <c r="F17" s="80">
        <v>-1780</v>
      </c>
      <c r="G17" s="80">
        <v>-1337</v>
      </c>
      <c r="H17" s="80">
        <v>-1007</v>
      </c>
      <c r="I17" s="71">
        <v>-1007</v>
      </c>
      <c r="J17" s="71">
        <v>-1007</v>
      </c>
      <c r="K17" s="71">
        <v>-1007</v>
      </c>
      <c r="L17" s="71">
        <v>-1007</v>
      </c>
      <c r="M17" s="71">
        <v>-1007</v>
      </c>
    </row>
    <row r="18" ht="18" customHeight="1" spans="3:13">
      <c r="C18" s="97" t="s">
        <v>170</v>
      </c>
      <c r="D18" s="98">
        <v>-7547</v>
      </c>
      <c r="E18" s="98">
        <v>-14545</v>
      </c>
      <c r="F18" s="98">
        <v>-22162</v>
      </c>
      <c r="G18" s="98">
        <v>7317</v>
      </c>
      <c r="H18" s="98">
        <v>3236</v>
      </c>
      <c r="I18" s="98">
        <f>I14+I15+I16+I17</f>
        <v>1807.71298</v>
      </c>
      <c r="J18" s="98">
        <f>J14+J15+J16+J17</f>
        <v>929.160141200002</v>
      </c>
      <c r="K18" s="98">
        <f>K14+K15+K16+K17</f>
        <v>342.337256749997</v>
      </c>
      <c r="L18" s="98">
        <f>L14+L15+L16+L17</f>
        <v>-806.444418617502</v>
      </c>
      <c r="M18" s="98">
        <f>M14+M15+M16+M17</f>
        <v>-1578.10345692906</v>
      </c>
    </row>
    <row r="20" ht="18" customHeight="1" spans="3:13">
      <c r="C20" s="94" t="s">
        <v>171</v>
      </c>
      <c r="D20" s="95"/>
      <c r="E20" s="95"/>
      <c r="F20" s="95"/>
      <c r="G20" s="95"/>
      <c r="H20" s="95"/>
      <c r="I20" s="95"/>
      <c r="J20" s="95"/>
      <c r="K20" s="95"/>
      <c r="L20" s="95"/>
      <c r="M20" s="95"/>
    </row>
    <row r="21" ht="18" customHeight="1" spans="3:13">
      <c r="C21" s="64" t="s">
        <v>172</v>
      </c>
      <c r="D21" s="80">
        <v>-14081</v>
      </c>
      <c r="E21" s="80">
        <v>-14467</v>
      </c>
      <c r="F21" s="80">
        <v>-14841</v>
      </c>
      <c r="G21" s="80">
        <v>-15025</v>
      </c>
      <c r="H21" s="80">
        <v>-15234</v>
      </c>
      <c r="I21" s="71">
        <v>-15234</v>
      </c>
      <c r="J21" s="71">
        <v>-15234</v>
      </c>
      <c r="K21" s="71">
        <v>-15234</v>
      </c>
      <c r="L21" s="71">
        <v>-15234</v>
      </c>
      <c r="M21" s="71">
        <v>-15234</v>
      </c>
    </row>
    <row r="22" ht="18" customHeight="1" spans="3:13">
      <c r="C22" s="64" t="s">
        <v>173</v>
      </c>
      <c r="D22" s="80">
        <v>-72358</v>
      </c>
      <c r="E22" s="80">
        <v>-85971</v>
      </c>
      <c r="F22" s="80">
        <v>-89402</v>
      </c>
      <c r="G22" s="80">
        <v>-77550</v>
      </c>
      <c r="H22" s="80">
        <v>-94949</v>
      </c>
      <c r="I22" s="71">
        <v>-94949</v>
      </c>
      <c r="J22" s="71">
        <v>-94949</v>
      </c>
      <c r="K22" s="71">
        <v>-94949</v>
      </c>
      <c r="L22" s="71">
        <v>-94949</v>
      </c>
      <c r="M22" s="71">
        <v>-94949</v>
      </c>
    </row>
    <row r="23" ht="18" customHeight="1" spans="3:13">
      <c r="C23" s="64" t="s">
        <v>174</v>
      </c>
      <c r="D23" s="80">
        <v>16091</v>
      </c>
      <c r="E23" s="80">
        <v>20393</v>
      </c>
      <c r="F23" s="80">
        <v>-7887</v>
      </c>
      <c r="G23" s="80">
        <v>-11151</v>
      </c>
      <c r="H23" s="80">
        <v>-5998</v>
      </c>
      <c r="I23" s="71">
        <v>-5998</v>
      </c>
      <c r="J23" s="71">
        <v>-5998</v>
      </c>
      <c r="K23" s="71">
        <v>-5998</v>
      </c>
      <c r="L23" s="71">
        <v>-5998</v>
      </c>
      <c r="M23" s="71">
        <v>-5998</v>
      </c>
    </row>
    <row r="24" ht="18" customHeight="1" spans="3:13">
      <c r="C24" s="64" t="s">
        <v>175</v>
      </c>
      <c r="D24" s="80">
        <v>-4701</v>
      </c>
      <c r="E24" s="80">
        <v>-6143</v>
      </c>
      <c r="F24" s="80">
        <v>-5681</v>
      </c>
      <c r="G24" s="80">
        <v>-5337</v>
      </c>
      <c r="H24" s="80">
        <v>-3895</v>
      </c>
      <c r="I24" s="71">
        <v>-3895</v>
      </c>
      <c r="J24" s="71">
        <v>-3895</v>
      </c>
      <c r="K24" s="71">
        <v>-3895</v>
      </c>
      <c r="L24" s="71">
        <v>-3895</v>
      </c>
      <c r="M24" s="71">
        <v>-3895</v>
      </c>
    </row>
    <row r="25" ht="18" customHeight="1" spans="3:13">
      <c r="C25" s="97" t="s">
        <v>176</v>
      </c>
      <c r="D25" s="98">
        <v>-86820</v>
      </c>
      <c r="E25" s="98">
        <v>-93388</v>
      </c>
      <c r="F25" s="98">
        <v>-110749</v>
      </c>
      <c r="G25" s="98">
        <v>-99827</v>
      </c>
      <c r="H25" s="98">
        <v>-121005</v>
      </c>
      <c r="I25" s="98">
        <f>I21+I22+I23+I24</f>
        <v>-120076</v>
      </c>
      <c r="J25" s="98">
        <f>J21+J22+J23+J24</f>
        <v>-120076</v>
      </c>
      <c r="K25" s="98">
        <f>K21+K22+K23+K24</f>
        <v>-120076</v>
      </c>
      <c r="L25" s="98">
        <f>L21+L22+L23+L24</f>
        <v>-120076</v>
      </c>
      <c r="M25" s="98">
        <f>M21+M22+M23+M24</f>
        <v>-120076</v>
      </c>
    </row>
    <row r="27" ht="18" customHeight="1" spans="3:13">
      <c r="C27" s="74" t="s">
        <v>177</v>
      </c>
      <c r="D27" s="75">
        <v>73365</v>
      </c>
      <c r="E27" s="75">
        <v>92953</v>
      </c>
      <c r="F27" s="75">
        <v>111443</v>
      </c>
      <c r="G27" s="75">
        <v>99584</v>
      </c>
      <c r="H27" s="75">
        <v>108807</v>
      </c>
      <c r="I27" s="75">
        <f>I11+I14</f>
        <v>124616.99597205</v>
      </c>
      <c r="J27" s="75">
        <f>J11+J14</f>
        <v>136649.24297664</v>
      </c>
      <c r="K27" s="75">
        <f>K11+K14</f>
        <v>151706.386716259</v>
      </c>
      <c r="L27" s="75">
        <f>L11+L14</f>
        <v>167140.035120895</v>
      </c>
      <c r="M27" s="75">
        <f>M11+M14</f>
        <v>185516.954899985</v>
      </c>
    </row>
    <row r="28" ht="18" customHeight="1" spans="3:13">
      <c r="C28" s="64" t="s">
        <v>178</v>
      </c>
      <c r="D28" s="99">
        <f>D27/'Income Statement'!D8</f>
        <v>0.26725315556527</v>
      </c>
      <c r="E28" s="99">
        <f>E27/'Income Statement'!E8</f>
        <v>0.254096993852117</v>
      </c>
      <c r="F28" s="99">
        <f>F27/'Income Statement'!F8</f>
        <v>0.282614980422389</v>
      </c>
      <c r="G28" s="99">
        <f>G27/'Income Statement'!G8</f>
        <v>0.259817107374408</v>
      </c>
      <c r="H28" s="99">
        <f>H27/'Income Statement'!H8</f>
        <v>0.278253864743565</v>
      </c>
      <c r="I28" s="99">
        <f>I27/'Income Statement'!I8</f>
        <v>0.2979270238399</v>
      </c>
      <c r="J28" s="99">
        <f>J27/'Income Statement'!J8</f>
        <v>0.302274010882719</v>
      </c>
      <c r="K28" s="99">
        <f>K27/'Income Statement'!K8</f>
        <v>0.307330306873587</v>
      </c>
      <c r="L28" s="99">
        <f>L27/'Income Statement'!L8</f>
        <v>0.30976078393973</v>
      </c>
      <c r="M28" s="99">
        <f>M27/'Income Statement'!M8</f>
        <v>0.312206340206889</v>
      </c>
    </row>
  </sheetData>
  <mergeCells count="3">
    <mergeCell ref="C1:M1"/>
    <mergeCell ref="D3:H3"/>
    <mergeCell ref="I3:M3"/>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C1:M34"/>
  <sheetViews>
    <sheetView showGridLines="0" workbookViewId="0">
      <selection activeCell="A1" sqref="A1"/>
    </sheetView>
  </sheetViews>
  <sheetFormatPr defaultColWidth="8.67592592592593" defaultRowHeight="14.4"/>
  <cols>
    <col min="1" max="1" width="2" style="1" customWidth="1"/>
    <col min="2" max="2" width="1" style="1" customWidth="1"/>
    <col min="3" max="3" width="36" style="1" customWidth="1"/>
    <col min="4" max="13" width="13" style="1" customWidth="1"/>
    <col min="14" max="14" width="2" style="1" customWidth="1"/>
  </cols>
  <sheetData>
    <row r="1" ht="30" customHeight="1" spans="3:13">
      <c r="C1" s="3" t="s">
        <v>179</v>
      </c>
      <c r="D1" s="3"/>
      <c r="E1" s="3"/>
      <c r="F1" s="3"/>
      <c r="G1" s="3"/>
      <c r="H1" s="3"/>
      <c r="I1" s="3"/>
      <c r="J1" s="3"/>
      <c r="K1" s="3"/>
      <c r="L1" s="3"/>
      <c r="M1" s="3"/>
    </row>
    <row r="3" ht="15.75" customHeight="1" spans="3:13">
      <c r="D3" s="86" t="s">
        <v>95</v>
      </c>
      <c r="E3" s="86"/>
      <c r="F3" s="86"/>
      <c r="G3" s="86"/>
      <c r="H3" s="86"/>
      <c r="I3" s="87" t="s">
        <v>96</v>
      </c>
      <c r="J3" s="87"/>
      <c r="K3" s="87"/>
      <c r="L3" s="87"/>
      <c r="M3" s="87"/>
    </row>
    <row r="4" ht="21.75" customHeight="1" spans="3:13">
      <c r="C4" s="88" t="s">
        <v>180</v>
      </c>
      <c r="D4" s="89" t="s">
        <v>98</v>
      </c>
      <c r="E4" s="89" t="s">
        <v>99</v>
      </c>
      <c r="F4" s="89" t="s">
        <v>100</v>
      </c>
      <c r="G4" s="89" t="s">
        <v>101</v>
      </c>
      <c r="H4" s="89" t="s">
        <v>102</v>
      </c>
      <c r="I4" s="70" t="s">
        <v>49</v>
      </c>
      <c r="J4" s="70" t="s">
        <v>50</v>
      </c>
      <c r="K4" s="70" t="s">
        <v>51</v>
      </c>
      <c r="L4" s="70" t="s">
        <v>52</v>
      </c>
      <c r="M4" s="70" t="s">
        <v>53</v>
      </c>
    </row>
    <row r="5" ht="18" customHeight="1" spans="3:13">
      <c r="C5" s="90" t="s">
        <v>181</v>
      </c>
      <c r="D5" s="91"/>
      <c r="E5" s="91"/>
      <c r="F5" s="91"/>
      <c r="G5" s="91"/>
      <c r="H5" s="91"/>
      <c r="I5" s="91"/>
      <c r="J5" s="91"/>
      <c r="K5" s="91"/>
      <c r="L5" s="91"/>
      <c r="M5" s="91"/>
    </row>
    <row r="6" ht="18" customHeight="1" spans="3:13">
      <c r="C6" s="64" t="s">
        <v>182</v>
      </c>
      <c r="D6" s="92" t="s">
        <v>183</v>
      </c>
      <c r="E6" s="92" t="s">
        <v>184</v>
      </c>
      <c r="F6" s="92" t="s">
        <v>185</v>
      </c>
      <c r="G6" s="92" t="s">
        <v>186</v>
      </c>
      <c r="H6" s="92" t="s">
        <v>187</v>
      </c>
      <c r="I6" s="93" t="s">
        <v>188</v>
      </c>
      <c r="J6" s="93" t="s">
        <v>188</v>
      </c>
      <c r="K6" s="93" t="s">
        <v>188</v>
      </c>
      <c r="L6" s="93" t="s">
        <v>188</v>
      </c>
      <c r="M6" s="93" t="s">
        <v>188</v>
      </c>
    </row>
    <row r="7" ht="18" customHeight="1" spans="3:13">
      <c r="C7" s="64" t="s">
        <v>189</v>
      </c>
      <c r="D7" s="92" t="s">
        <v>190</v>
      </c>
      <c r="E7" s="92" t="s">
        <v>191</v>
      </c>
      <c r="F7" s="92" t="s">
        <v>192</v>
      </c>
      <c r="G7" s="92" t="s">
        <v>193</v>
      </c>
      <c r="H7" s="92" t="s">
        <v>194</v>
      </c>
      <c r="I7" s="93" t="s">
        <v>188</v>
      </c>
      <c r="J7" s="93" t="s">
        <v>188</v>
      </c>
      <c r="K7" s="93" t="s">
        <v>188</v>
      </c>
      <c r="L7" s="93" t="s">
        <v>188</v>
      </c>
      <c r="M7" s="93" t="s">
        <v>188</v>
      </c>
    </row>
    <row r="8" ht="18" customHeight="1" spans="3:13">
      <c r="C8" s="64" t="s">
        <v>195</v>
      </c>
      <c r="D8" s="92" t="s">
        <v>196</v>
      </c>
      <c r="E8" s="92" t="s">
        <v>197</v>
      </c>
      <c r="F8" s="92" t="s">
        <v>198</v>
      </c>
      <c r="G8" s="92" t="s">
        <v>199</v>
      </c>
      <c r="H8" s="92" t="s">
        <v>200</v>
      </c>
      <c r="I8" s="93" t="s">
        <v>188</v>
      </c>
      <c r="J8" s="93" t="s">
        <v>188</v>
      </c>
      <c r="K8" s="93" t="s">
        <v>188</v>
      </c>
      <c r="L8" s="93" t="s">
        <v>188</v>
      </c>
      <c r="M8" s="93" t="s">
        <v>188</v>
      </c>
    </row>
    <row r="9" ht="18" customHeight="1" spans="3:13">
      <c r="C9" s="64" t="s">
        <v>110</v>
      </c>
      <c r="D9" s="92" t="s">
        <v>201</v>
      </c>
      <c r="E9" s="92" t="s">
        <v>202</v>
      </c>
      <c r="F9" s="92" t="s">
        <v>203</v>
      </c>
      <c r="G9" s="92" t="s">
        <v>204</v>
      </c>
      <c r="H9" s="92" t="s">
        <v>205</v>
      </c>
      <c r="I9" s="93" t="s">
        <v>188</v>
      </c>
      <c r="J9" s="93" t="s">
        <v>188</v>
      </c>
      <c r="K9" s="93" t="s">
        <v>188</v>
      </c>
      <c r="L9" s="93" t="s">
        <v>188</v>
      </c>
      <c r="M9" s="93" t="s">
        <v>188</v>
      </c>
    </row>
    <row r="10" ht="18" customHeight="1" spans="3:13">
      <c r="C10" s="64" t="s">
        <v>206</v>
      </c>
      <c r="D10" s="92" t="s">
        <v>207</v>
      </c>
      <c r="E10" s="92" t="s">
        <v>208</v>
      </c>
      <c r="F10" s="92" t="s">
        <v>209</v>
      </c>
      <c r="G10" s="92" t="s">
        <v>210</v>
      </c>
      <c r="H10" s="92" t="s">
        <v>211</v>
      </c>
      <c r="I10" s="93" t="s">
        <v>188</v>
      </c>
      <c r="J10" s="93" t="s">
        <v>188</v>
      </c>
      <c r="K10" s="93" t="s">
        <v>188</v>
      </c>
      <c r="L10" s="93" t="s">
        <v>188</v>
      </c>
      <c r="M10" s="93" t="s">
        <v>188</v>
      </c>
    </row>
    <row r="11" ht="18" customHeight="1" spans="3:13">
      <c r="C11" s="64" t="s">
        <v>116</v>
      </c>
      <c r="D11" s="92" t="s">
        <v>212</v>
      </c>
      <c r="E11" s="92" t="s">
        <v>213</v>
      </c>
      <c r="F11" s="92" t="s">
        <v>214</v>
      </c>
      <c r="G11" s="92" t="s">
        <v>213</v>
      </c>
      <c r="H11" s="92" t="s">
        <v>215</v>
      </c>
      <c r="I11" s="93" t="s">
        <v>188</v>
      </c>
      <c r="J11" s="93" t="s">
        <v>188</v>
      </c>
      <c r="K11" s="93" t="s">
        <v>188</v>
      </c>
      <c r="L11" s="93" t="s">
        <v>188</v>
      </c>
      <c r="M11" s="93" t="s">
        <v>188</v>
      </c>
    </row>
    <row r="12" ht="18" customHeight="1" spans="3:13">
      <c r="C12" s="64" t="s">
        <v>216</v>
      </c>
      <c r="D12" s="92" t="s">
        <v>217</v>
      </c>
      <c r="E12" s="92" t="s">
        <v>218</v>
      </c>
      <c r="F12" s="92" t="s">
        <v>219</v>
      </c>
      <c r="G12" s="92" t="s">
        <v>220</v>
      </c>
      <c r="H12" s="92" t="s">
        <v>221</v>
      </c>
      <c r="I12" s="93" t="s">
        <v>188</v>
      </c>
      <c r="J12" s="93" t="s">
        <v>188</v>
      </c>
      <c r="K12" s="93" t="s">
        <v>188</v>
      </c>
      <c r="L12" s="93" t="s">
        <v>188</v>
      </c>
      <c r="M12" s="93" t="s">
        <v>188</v>
      </c>
    </row>
    <row r="13" ht="18" customHeight="1" spans="3:13">
      <c r="C13" s="64" t="s">
        <v>119</v>
      </c>
      <c r="D13" s="92" t="s">
        <v>222</v>
      </c>
      <c r="E13" s="92" t="s">
        <v>223</v>
      </c>
      <c r="F13" s="92" t="s">
        <v>224</v>
      </c>
      <c r="G13" s="92" t="s">
        <v>225</v>
      </c>
      <c r="H13" s="92" t="s">
        <v>226</v>
      </c>
      <c r="I13" s="93" t="s">
        <v>188</v>
      </c>
      <c r="J13" s="93" t="s">
        <v>188</v>
      </c>
      <c r="K13" s="93" t="s">
        <v>188</v>
      </c>
      <c r="L13" s="93" t="s">
        <v>188</v>
      </c>
      <c r="M13" s="93" t="s">
        <v>188</v>
      </c>
    </row>
    <row r="14" ht="18" customHeight="1" spans="3:13">
      <c r="C14" s="64" t="s">
        <v>227</v>
      </c>
      <c r="D14" s="92" t="s">
        <v>228</v>
      </c>
      <c r="E14" s="92" t="s">
        <v>229</v>
      </c>
      <c r="F14" s="92" t="s">
        <v>230</v>
      </c>
      <c r="G14" s="92" t="s">
        <v>231</v>
      </c>
      <c r="H14" s="92" t="s">
        <v>232</v>
      </c>
      <c r="I14" s="93" t="s">
        <v>188</v>
      </c>
      <c r="J14" s="93" t="s">
        <v>188</v>
      </c>
      <c r="K14" s="93" t="s">
        <v>188</v>
      </c>
      <c r="L14" s="93" t="s">
        <v>188</v>
      </c>
      <c r="M14" s="93" t="s">
        <v>188</v>
      </c>
    </row>
    <row r="15" ht="18" customHeight="1" spans="3:13">
      <c r="C15" s="64" t="s">
        <v>233</v>
      </c>
      <c r="D15" s="92" t="s">
        <v>234</v>
      </c>
      <c r="E15" s="92" t="s">
        <v>235</v>
      </c>
      <c r="F15" s="92" t="s">
        <v>236</v>
      </c>
      <c r="G15" s="92" t="s">
        <v>236</v>
      </c>
      <c r="H15" s="92" t="s">
        <v>237</v>
      </c>
      <c r="I15" s="93" t="s">
        <v>188</v>
      </c>
      <c r="J15" s="93" t="s">
        <v>188</v>
      </c>
      <c r="K15" s="93" t="s">
        <v>188</v>
      </c>
      <c r="L15" s="93" t="s">
        <v>188</v>
      </c>
      <c r="M15" s="93" t="s">
        <v>188</v>
      </c>
    </row>
    <row r="17" ht="18" customHeight="1" spans="3:13">
      <c r="C17" s="90" t="s">
        <v>238</v>
      </c>
      <c r="D17" s="91"/>
      <c r="E17" s="91"/>
      <c r="F17" s="91"/>
      <c r="G17" s="91"/>
      <c r="H17" s="91"/>
      <c r="I17" s="91"/>
      <c r="J17" s="91"/>
      <c r="K17" s="91"/>
      <c r="L17" s="91"/>
      <c r="M17" s="91"/>
    </row>
    <row r="18" ht="18" customHeight="1" spans="3:13">
      <c r="C18" s="64" t="s">
        <v>239</v>
      </c>
      <c r="D18" s="92" t="s">
        <v>240</v>
      </c>
      <c r="E18" s="92" t="s">
        <v>241</v>
      </c>
      <c r="F18" s="92" t="s">
        <v>242</v>
      </c>
      <c r="G18" s="92" t="s">
        <v>243</v>
      </c>
      <c r="H18" s="92" t="s">
        <v>244</v>
      </c>
      <c r="I18" s="93" t="s">
        <v>188</v>
      </c>
      <c r="J18" s="93" t="s">
        <v>188</v>
      </c>
      <c r="K18" s="93" t="s">
        <v>188</v>
      </c>
      <c r="L18" s="93" t="s">
        <v>188</v>
      </c>
      <c r="M18" s="93" t="s">
        <v>188</v>
      </c>
    </row>
    <row r="19" ht="18" customHeight="1" spans="3:13">
      <c r="C19" s="64" t="s">
        <v>245</v>
      </c>
      <c r="D19" s="92" t="s">
        <v>246</v>
      </c>
      <c r="E19" s="92" t="s">
        <v>247</v>
      </c>
      <c r="F19" s="92" t="s">
        <v>248</v>
      </c>
      <c r="G19" s="92" t="s">
        <v>249</v>
      </c>
      <c r="H19" s="92" t="s">
        <v>250</v>
      </c>
      <c r="I19" s="93" t="s">
        <v>188</v>
      </c>
      <c r="J19" s="93" t="s">
        <v>188</v>
      </c>
      <c r="K19" s="93" t="s">
        <v>188</v>
      </c>
      <c r="L19" s="93" t="s">
        <v>188</v>
      </c>
      <c r="M19" s="93" t="s">
        <v>188</v>
      </c>
    </row>
    <row r="20" ht="18" customHeight="1" spans="3:13">
      <c r="C20" s="64" t="s">
        <v>251</v>
      </c>
      <c r="D20" s="92" t="s">
        <v>252</v>
      </c>
      <c r="E20" s="92" t="s">
        <v>252</v>
      </c>
      <c r="F20" s="92" t="s">
        <v>252</v>
      </c>
      <c r="G20" s="92" t="s">
        <v>252</v>
      </c>
      <c r="H20" s="92" t="s">
        <v>252</v>
      </c>
      <c r="I20" s="93" t="s">
        <v>188</v>
      </c>
      <c r="J20" s="93" t="s">
        <v>188</v>
      </c>
      <c r="K20" s="93" t="s">
        <v>188</v>
      </c>
      <c r="L20" s="93" t="s">
        <v>188</v>
      </c>
      <c r="M20" s="93" t="s">
        <v>188</v>
      </c>
    </row>
    <row r="22" ht="18" customHeight="1" spans="3:13">
      <c r="C22" s="90" t="s">
        <v>253</v>
      </c>
      <c r="D22" s="91"/>
      <c r="E22" s="91"/>
      <c r="F22" s="91"/>
      <c r="G22" s="91"/>
      <c r="H22" s="91"/>
      <c r="I22" s="91"/>
      <c r="J22" s="91"/>
      <c r="K22" s="91"/>
      <c r="L22" s="91"/>
      <c r="M22" s="91"/>
    </row>
    <row r="23" ht="18" customHeight="1" spans="3:13">
      <c r="C23" s="64" t="s">
        <v>254</v>
      </c>
      <c r="D23" s="92" t="s">
        <v>255</v>
      </c>
      <c r="E23" s="92" t="s">
        <v>256</v>
      </c>
      <c r="F23" s="92" t="s">
        <v>257</v>
      </c>
      <c r="G23" s="92" t="s">
        <v>258</v>
      </c>
      <c r="H23" s="92" t="s">
        <v>259</v>
      </c>
      <c r="I23" s="93" t="s">
        <v>188</v>
      </c>
      <c r="J23" s="93" t="s">
        <v>188</v>
      </c>
      <c r="K23" s="93" t="s">
        <v>188</v>
      </c>
      <c r="L23" s="93" t="s">
        <v>188</v>
      </c>
      <c r="M23" s="93" t="s">
        <v>188</v>
      </c>
    </row>
    <row r="24" ht="18" customHeight="1" spans="3:13">
      <c r="C24" s="64" t="s">
        <v>260</v>
      </c>
      <c r="D24" s="92" t="s">
        <v>261</v>
      </c>
      <c r="E24" s="92" t="s">
        <v>262</v>
      </c>
      <c r="F24" s="92" t="s">
        <v>263</v>
      </c>
      <c r="G24" s="92" t="s">
        <v>264</v>
      </c>
      <c r="H24" s="92" t="s">
        <v>265</v>
      </c>
      <c r="I24" s="93" t="s">
        <v>188</v>
      </c>
      <c r="J24" s="93" t="s">
        <v>188</v>
      </c>
      <c r="K24" s="93" t="s">
        <v>188</v>
      </c>
      <c r="L24" s="93" t="s">
        <v>188</v>
      </c>
      <c r="M24" s="93" t="s">
        <v>188</v>
      </c>
    </row>
    <row r="25" ht="18" customHeight="1" spans="3:13">
      <c r="C25" s="64" t="s">
        <v>266</v>
      </c>
      <c r="D25" s="92" t="s">
        <v>267</v>
      </c>
      <c r="E25" s="92" t="s">
        <v>268</v>
      </c>
      <c r="F25" s="92" t="s">
        <v>269</v>
      </c>
      <c r="G25" s="92" t="s">
        <v>270</v>
      </c>
      <c r="H25" s="92" t="s">
        <v>271</v>
      </c>
      <c r="I25" s="93" t="s">
        <v>188</v>
      </c>
      <c r="J25" s="93" t="s">
        <v>188</v>
      </c>
      <c r="K25" s="93" t="s">
        <v>188</v>
      </c>
      <c r="L25" s="93" t="s">
        <v>188</v>
      </c>
      <c r="M25" s="93" t="s">
        <v>188</v>
      </c>
    </row>
    <row r="26" ht="18" customHeight="1" spans="3:13">
      <c r="C26" s="64" t="s">
        <v>272</v>
      </c>
      <c r="D26" s="92" t="s">
        <v>273</v>
      </c>
      <c r="E26" s="92" t="s">
        <v>274</v>
      </c>
      <c r="F26" s="92" t="s">
        <v>275</v>
      </c>
      <c r="G26" s="92" t="s">
        <v>275</v>
      </c>
      <c r="H26" s="92" t="s">
        <v>276</v>
      </c>
      <c r="I26" s="93" t="s">
        <v>188</v>
      </c>
      <c r="J26" s="93" t="s">
        <v>188</v>
      </c>
      <c r="K26" s="93" t="s">
        <v>188</v>
      </c>
      <c r="L26" s="93" t="s">
        <v>188</v>
      </c>
      <c r="M26" s="93" t="s">
        <v>188</v>
      </c>
    </row>
    <row r="27" ht="18" customHeight="1" spans="3:13">
      <c r="C27" s="64" t="s">
        <v>277</v>
      </c>
      <c r="D27" s="92" t="s">
        <v>190</v>
      </c>
      <c r="E27" s="92" t="s">
        <v>190</v>
      </c>
      <c r="F27" s="92" t="s">
        <v>190</v>
      </c>
      <c r="G27" s="92" t="s">
        <v>190</v>
      </c>
      <c r="H27" s="92" t="s">
        <v>190</v>
      </c>
      <c r="I27" s="93" t="s">
        <v>188</v>
      </c>
      <c r="J27" s="93" t="s">
        <v>188</v>
      </c>
      <c r="K27" s="93" t="s">
        <v>188</v>
      </c>
      <c r="L27" s="93" t="s">
        <v>188</v>
      </c>
      <c r="M27" s="93" t="s">
        <v>188</v>
      </c>
    </row>
    <row r="29" ht="18" customHeight="1" spans="3:13">
      <c r="C29" s="90" t="s">
        <v>278</v>
      </c>
      <c r="D29" s="91"/>
      <c r="E29" s="91"/>
      <c r="F29" s="91"/>
      <c r="G29" s="91"/>
      <c r="H29" s="91"/>
      <c r="I29" s="91"/>
      <c r="J29" s="91"/>
      <c r="K29" s="91"/>
      <c r="L29" s="91"/>
      <c r="M29" s="91"/>
    </row>
    <row r="30" ht="18" customHeight="1" spans="3:13">
      <c r="C30" s="64" t="s">
        <v>279</v>
      </c>
      <c r="D30" s="92" t="s">
        <v>280</v>
      </c>
      <c r="E30" s="92" t="s">
        <v>281</v>
      </c>
      <c r="F30" s="92" t="s">
        <v>282</v>
      </c>
      <c r="G30" s="92" t="s">
        <v>283</v>
      </c>
      <c r="H30" s="92" t="s">
        <v>284</v>
      </c>
      <c r="I30" s="93" t="s">
        <v>188</v>
      </c>
      <c r="J30" s="93" t="s">
        <v>188</v>
      </c>
      <c r="K30" s="93" t="s">
        <v>188</v>
      </c>
      <c r="L30" s="93" t="s">
        <v>188</v>
      </c>
      <c r="M30" s="93" t="s">
        <v>188</v>
      </c>
    </row>
    <row r="31" ht="18" customHeight="1" spans="3:13">
      <c r="C31" s="64" t="s">
        <v>285</v>
      </c>
      <c r="D31" s="92" t="s">
        <v>286</v>
      </c>
      <c r="E31" s="92" t="s">
        <v>287</v>
      </c>
      <c r="F31" s="92" t="s">
        <v>288</v>
      </c>
      <c r="G31" s="92" t="s">
        <v>289</v>
      </c>
      <c r="H31" s="92" t="s">
        <v>290</v>
      </c>
      <c r="I31" s="93" t="s">
        <v>188</v>
      </c>
      <c r="J31" s="93" t="s">
        <v>188</v>
      </c>
      <c r="K31" s="93" t="s">
        <v>188</v>
      </c>
      <c r="L31" s="93" t="s">
        <v>188</v>
      </c>
      <c r="M31" s="93" t="s">
        <v>188</v>
      </c>
    </row>
    <row r="32" ht="18" customHeight="1" spans="3:13">
      <c r="C32" s="64" t="s">
        <v>291</v>
      </c>
      <c r="D32" s="92" t="s">
        <v>292</v>
      </c>
      <c r="E32" s="92" t="s">
        <v>293</v>
      </c>
      <c r="F32" s="92" t="s">
        <v>294</v>
      </c>
      <c r="G32" s="92" t="s">
        <v>295</v>
      </c>
      <c r="H32" s="92" t="s">
        <v>296</v>
      </c>
      <c r="I32" s="93" t="s">
        <v>188</v>
      </c>
      <c r="J32" s="93" t="s">
        <v>188</v>
      </c>
      <c r="K32" s="93" t="s">
        <v>188</v>
      </c>
      <c r="L32" s="93" t="s">
        <v>188</v>
      </c>
      <c r="M32" s="93" t="s">
        <v>188</v>
      </c>
    </row>
    <row r="33" ht="18" customHeight="1" spans="3:13">
      <c r="C33" s="64" t="s">
        <v>178</v>
      </c>
      <c r="D33" s="92" t="s">
        <v>297</v>
      </c>
      <c r="E33" s="92" t="s">
        <v>298</v>
      </c>
      <c r="F33" s="92" t="s">
        <v>248</v>
      </c>
      <c r="G33" s="92" t="s">
        <v>299</v>
      </c>
      <c r="H33" s="92" t="s">
        <v>300</v>
      </c>
      <c r="I33" s="93" t="s">
        <v>188</v>
      </c>
      <c r="J33" s="93" t="s">
        <v>188</v>
      </c>
      <c r="K33" s="93" t="s">
        <v>188</v>
      </c>
      <c r="L33" s="93" t="s">
        <v>188</v>
      </c>
      <c r="M33" s="93" t="s">
        <v>188</v>
      </c>
    </row>
    <row r="34" ht="18" customHeight="1" spans="3:13">
      <c r="C34" s="64" t="s">
        <v>301</v>
      </c>
      <c r="D34" s="92" t="s">
        <v>302</v>
      </c>
      <c r="E34" s="92" t="s">
        <v>303</v>
      </c>
      <c r="F34" s="92" t="s">
        <v>304</v>
      </c>
      <c r="G34" s="92" t="s">
        <v>305</v>
      </c>
      <c r="H34" s="92" t="s">
        <v>306</v>
      </c>
      <c r="I34" s="93" t="s">
        <v>188</v>
      </c>
      <c r="J34" s="93" t="s">
        <v>188</v>
      </c>
      <c r="K34" s="93" t="s">
        <v>188</v>
      </c>
      <c r="L34" s="93" t="s">
        <v>188</v>
      </c>
      <c r="M34" s="93" t="s">
        <v>188</v>
      </c>
    </row>
  </sheetData>
  <mergeCells count="3">
    <mergeCell ref="C1:M1"/>
    <mergeCell ref="D3:H3"/>
    <mergeCell ref="I3:M3"/>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C1:I44"/>
  <sheetViews>
    <sheetView showGridLines="0" workbookViewId="0">
      <selection activeCell="A1" sqref="A1"/>
    </sheetView>
  </sheetViews>
  <sheetFormatPr defaultColWidth="8.67592592592593" defaultRowHeight="14.4"/>
  <cols>
    <col min="1" max="1" width="2" style="1" customWidth="1"/>
    <col min="2" max="2" width="1" style="1" customWidth="1"/>
    <col min="3" max="3" width="36" style="1" customWidth="1"/>
    <col min="4" max="9" width="16" style="1" customWidth="1"/>
    <col min="10" max="10" width="20" style="1" customWidth="1"/>
    <col min="11" max="11" width="2" style="1" customWidth="1"/>
  </cols>
  <sheetData>
    <row r="1" ht="30" customHeight="1" spans="3:9">
      <c r="C1" s="3" t="s">
        <v>307</v>
      </c>
      <c r="D1" s="3"/>
      <c r="E1" s="3"/>
      <c r="F1" s="3"/>
      <c r="G1" s="3"/>
      <c r="H1" s="3"/>
      <c r="I1" s="3"/>
    </row>
    <row r="2" ht="15" customHeight="1" spans="3:9">
      <c r="C2" s="47" t="s">
        <v>308</v>
      </c>
    </row>
    <row r="4" ht="19.5" customHeight="1" spans="3:9">
      <c r="C4" s="63" t="s">
        <v>309</v>
      </c>
      <c r="D4" s="63"/>
      <c r="E4" s="63"/>
      <c r="G4" s="63" t="s">
        <v>310</v>
      </c>
      <c r="H4" s="63"/>
      <c r="I4" s="63"/>
    </row>
    <row r="5" ht="18" customHeight="1" spans="3:9">
      <c r="C5" s="64" t="s">
        <v>311</v>
      </c>
      <c r="D5" s="65">
        <f>Assumptions!C25</f>
        <v>0.043</v>
      </c>
      <c r="G5" s="64" t="s">
        <v>87</v>
      </c>
      <c r="H5" s="65">
        <f>Assumptions!C35</f>
        <v>0.03</v>
      </c>
    </row>
    <row r="6" ht="18" customHeight="1" spans="3:9">
      <c r="C6" s="64" t="s">
        <v>75</v>
      </c>
      <c r="D6" s="65">
        <f>Assumptions!C26</f>
        <v>0.055</v>
      </c>
      <c r="G6" s="64" t="s">
        <v>312</v>
      </c>
      <c r="H6" s="66" t="s">
        <v>313</v>
      </c>
    </row>
    <row r="7" ht="18" customHeight="1" spans="3:9">
      <c r="C7" s="64" t="s">
        <v>314</v>
      </c>
      <c r="D7" s="65">
        <f>Assumptions!C27</f>
        <v>1.24</v>
      </c>
      <c r="G7" s="64" t="s">
        <v>315</v>
      </c>
      <c r="H7" s="67" t="s">
        <v>316</v>
      </c>
    </row>
    <row r="8" ht="18" customHeight="1" spans="3:9">
      <c r="C8" s="64" t="s">
        <v>317</v>
      </c>
      <c r="D8" s="65">
        <f>Assumptions!C28</f>
        <v>0.1112</v>
      </c>
    </row>
    <row r="9" ht="18" customHeight="1" spans="3:9">
      <c r="C9" s="64" t="s">
        <v>318</v>
      </c>
      <c r="D9" s="65">
        <f>Assumptions!C31</f>
        <v>0.02547</v>
      </c>
    </row>
    <row r="10" ht="18" customHeight="1" spans="3:9">
      <c r="C10" s="64" t="s">
        <v>84</v>
      </c>
      <c r="D10" s="65">
        <f>Assumptions!C32</f>
        <v>0.97</v>
      </c>
    </row>
    <row r="11" ht="18" customHeight="1" spans="3:9">
      <c r="C11" s="64" t="s">
        <v>85</v>
      </c>
      <c r="D11" s="65">
        <f>Assumptions!C33</f>
        <v>0.03</v>
      </c>
    </row>
    <row r="12" ht="18" customHeight="1" spans="3:9">
      <c r="C12" s="68" t="s">
        <v>86</v>
      </c>
      <c r="D12" s="69">
        <f>Assumptions!C34</f>
        <v>0.1086281</v>
      </c>
    </row>
    <row r="14" ht="21.75" customHeight="1" spans="3:9">
      <c r="C14" s="36" t="s">
        <v>319</v>
      </c>
      <c r="D14" s="36"/>
      <c r="E14" s="36"/>
      <c r="F14" s="36"/>
      <c r="G14" s="36"/>
      <c r="H14" s="36"/>
      <c r="I14" s="36"/>
    </row>
    <row r="15" ht="19.5" customHeight="1" spans="3:9">
      <c r="D15" s="70" t="s">
        <v>49</v>
      </c>
      <c r="E15" s="70" t="s">
        <v>50</v>
      </c>
      <c r="F15" s="70" t="s">
        <v>51</v>
      </c>
      <c r="G15" s="70" t="s">
        <v>52</v>
      </c>
      <c r="H15" s="70" t="s">
        <v>53</v>
      </c>
    </row>
    <row r="16" ht="18" customHeight="1" spans="3:9">
      <c r="C16" s="64" t="s">
        <v>206</v>
      </c>
      <c r="D16" s="71">
        <v>130609</v>
      </c>
      <c r="E16" s="71">
        <v>130000</v>
      </c>
      <c r="F16" s="71">
        <v>138000</v>
      </c>
      <c r="G16" s="71">
        <v>147000</v>
      </c>
      <c r="H16" s="71">
        <v>157000</v>
      </c>
    </row>
    <row r="17" ht="18" customHeight="1" spans="3:9">
      <c r="C17" s="64" t="s">
        <v>320</v>
      </c>
      <c r="D17" s="72">
        <f>D16*Assumptions!C14</f>
        <v>19721.959</v>
      </c>
      <c r="E17" s="72">
        <f>E16*Assumptions!D14</f>
        <v>19630</v>
      </c>
      <c r="F17" s="72">
        <f>F16*Assumptions!E14</f>
        <v>20838</v>
      </c>
      <c r="G17" s="72">
        <f>G16*Assumptions!F14</f>
        <v>22197</v>
      </c>
      <c r="H17" s="72">
        <f>H16*Assumptions!G14</f>
        <v>23707</v>
      </c>
    </row>
    <row r="18" ht="18" customHeight="1" spans="3:9">
      <c r="C18" s="64" t="s">
        <v>321</v>
      </c>
      <c r="D18" s="73">
        <f>D16-D17</f>
        <v>110887.041</v>
      </c>
      <c r="E18" s="73">
        <f>E16-E17</f>
        <v>110370</v>
      </c>
      <c r="F18" s="73">
        <f>F16-F17</f>
        <v>117162</v>
      </c>
      <c r="G18" s="73">
        <f>G16-G17</f>
        <v>124803</v>
      </c>
      <c r="H18" s="73">
        <f>H16-H17</f>
        <v>133293</v>
      </c>
    </row>
    <row r="19" ht="18" customHeight="1" spans="3:9">
      <c r="C19" s="64" t="s">
        <v>322</v>
      </c>
      <c r="D19" s="71">
        <v>11600</v>
      </c>
      <c r="E19" s="71">
        <v>11900</v>
      </c>
      <c r="F19" s="71">
        <v>12200</v>
      </c>
      <c r="G19" s="71">
        <v>12500</v>
      </c>
      <c r="H19" s="71">
        <v>12800</v>
      </c>
    </row>
    <row r="20" ht="18" customHeight="1" spans="3:9">
      <c r="C20" s="64" t="s">
        <v>323</v>
      </c>
      <c r="D20" s="71">
        <v>10300</v>
      </c>
      <c r="E20" s="71">
        <v>10600</v>
      </c>
      <c r="F20" s="71">
        <v>10800</v>
      </c>
      <c r="G20" s="71">
        <v>11100</v>
      </c>
      <c r="H20" s="71">
        <v>11200</v>
      </c>
    </row>
    <row r="21" ht="18" customHeight="1" spans="3:9">
      <c r="C21" s="64" t="s">
        <v>324</v>
      </c>
      <c r="D21" s="71">
        <v>1500</v>
      </c>
      <c r="E21" s="71">
        <v>1500</v>
      </c>
      <c r="F21" s="71">
        <v>1500</v>
      </c>
      <c r="G21" s="71">
        <v>1500</v>
      </c>
      <c r="H21" s="71">
        <v>1500</v>
      </c>
    </row>
    <row r="22" ht="18" customHeight="1" spans="3:9">
      <c r="C22" s="74" t="s">
        <v>325</v>
      </c>
      <c r="D22" s="75">
        <f>D18+D19-D20-D21</f>
        <v>110687.041</v>
      </c>
      <c r="E22" s="75">
        <f>E18+E19-E20-E21</f>
        <v>110170</v>
      </c>
      <c r="F22" s="75">
        <f>F18+F19-F20-F21</f>
        <v>117062</v>
      </c>
      <c r="G22" s="75">
        <f>G18+G19-G20-G21</f>
        <v>124703</v>
      </c>
      <c r="H22" s="75">
        <f>H18+H19-H20-H21</f>
        <v>133393</v>
      </c>
    </row>
    <row r="23" ht="18" customHeight="1" spans="3:9">
      <c r="C23" s="76" t="s">
        <v>326</v>
      </c>
      <c r="D23" s="77">
        <v>1</v>
      </c>
      <c r="E23" s="77">
        <v>2</v>
      </c>
      <c r="F23" s="77">
        <v>3</v>
      </c>
      <c r="G23" s="77">
        <v>4</v>
      </c>
      <c r="H23" s="77">
        <v>5</v>
      </c>
    </row>
    <row r="24" ht="18" customHeight="1" spans="3:9">
      <c r="C24" s="76" t="s">
        <v>327</v>
      </c>
      <c r="D24" s="78">
        <f>1/(1+Assumptions!C34)^D23</f>
        <v>0.902015743602386</v>
      </c>
      <c r="E24" s="78">
        <f>1/(1+Assumptions!C34)^E23</f>
        <v>0.813632401706565</v>
      </c>
      <c r="F24" s="78">
        <f>1/(1+Assumptions!C34)^F23</f>
        <v>0.733909235844342</v>
      </c>
      <c r="G24" s="78">
        <f>1/(1+Assumptions!C34)^G23</f>
        <v>0.661997685106793</v>
      </c>
      <c r="H24" s="78">
        <f>1/(1+Assumptions!C34)^H23</f>
        <v>0.597132334194662</v>
      </c>
    </row>
    <row r="25" ht="18" customHeight="1" spans="3:9">
      <c r="C25" s="68" t="s">
        <v>328</v>
      </c>
      <c r="D25" s="79">
        <f>D22*D24</f>
        <v>99841.4535947627</v>
      </c>
      <c r="E25" s="79">
        <f>E22*E24</f>
        <v>89637.8816960122</v>
      </c>
      <c r="F25" s="79">
        <f>F22*F24</f>
        <v>85912.8829664104</v>
      </c>
      <c r="G25" s="79">
        <f>G22*G24</f>
        <v>82553.0973258724</v>
      </c>
      <c r="H25" s="79">
        <f>H22*H24</f>
        <v>79653.2734552285</v>
      </c>
    </row>
    <row r="27" ht="21.75" customHeight="1" spans="3:9">
      <c r="C27" s="36" t="s">
        <v>329</v>
      </c>
      <c r="D27" s="36"/>
      <c r="E27" s="36"/>
      <c r="F27" s="36"/>
      <c r="G27" s="36"/>
      <c r="H27" s="36"/>
      <c r="I27" s="36"/>
    </row>
    <row r="28" ht="19.5" customHeight="1" spans="3:9">
      <c r="C28" s="64" t="s">
        <v>330</v>
      </c>
      <c r="D28" s="80">
        <f>SUM(D25:H25)</f>
        <v>437598.589038286</v>
      </c>
    </row>
    <row r="29" ht="19.5" customHeight="1" spans="3:9">
      <c r="C29" s="64" t="s">
        <v>331</v>
      </c>
      <c r="D29" s="80">
        <f>H22*(1+Assumptions!C35)/(Assumptions!C34-Assumptions!C35)</f>
        <v>1747400.61123186</v>
      </c>
    </row>
    <row r="30" ht="19.5" customHeight="1" spans="3:9">
      <c r="C30" s="64" t="s">
        <v>332</v>
      </c>
      <c r="D30" s="80">
        <f>D29/(1+Assumptions!C34)^5</f>
        <v>1043429.40575806</v>
      </c>
    </row>
    <row r="31" ht="19.5" customHeight="1" spans="3:9">
      <c r="C31" s="74" t="s">
        <v>333</v>
      </c>
      <c r="D31" s="75">
        <f>D28+D29</f>
        <v>2184999.20027015</v>
      </c>
    </row>
    <row r="32" ht="19.5" customHeight="1" spans="3:9">
      <c r="C32" s="64" t="s">
        <v>334</v>
      </c>
      <c r="D32" s="80">
        <f>-Assumptions!C36</f>
        <v>50000</v>
      </c>
    </row>
    <row r="33" ht="19.5" customHeight="1" spans="3:9">
      <c r="C33" s="74" t="s">
        <v>335</v>
      </c>
      <c r="D33" s="75">
        <f>D30+D31</f>
        <v>3228428.60602821</v>
      </c>
    </row>
    <row r="34" ht="19.5" customHeight="1" spans="3:9">
      <c r="C34" s="64" t="s">
        <v>91</v>
      </c>
      <c r="D34" s="81">
        <f>Assumptions!C37</f>
        <v>15200</v>
      </c>
    </row>
    <row r="35" ht="19.5" customHeight="1" spans="3:9">
      <c r="C35" s="74" t="s">
        <v>336</v>
      </c>
      <c r="D35" s="82">
        <f>D32/Assumptions!C37</f>
        <v>3.28947368421053</v>
      </c>
    </row>
    <row r="38" ht="21.75" customHeight="1" spans="3:9">
      <c r="C38" s="36" t="s">
        <v>337</v>
      </c>
      <c r="D38" s="36"/>
      <c r="E38" s="36"/>
      <c r="F38" s="36"/>
      <c r="G38" s="36"/>
      <c r="H38" s="36"/>
      <c r="I38" s="36"/>
    </row>
    <row r="39" ht="18" customHeight="1" spans="3:9">
      <c r="C39" s="83" t="s">
        <v>338</v>
      </c>
      <c r="D39" s="48" t="s">
        <v>339</v>
      </c>
      <c r="E39" s="48" t="s">
        <v>340</v>
      </c>
      <c r="F39" s="48" t="s">
        <v>341</v>
      </c>
      <c r="G39" s="48" t="s">
        <v>342</v>
      </c>
      <c r="H39" s="48" t="s">
        <v>343</v>
      </c>
    </row>
    <row r="40" ht="18" customHeight="1" spans="3:9">
      <c r="C40" s="54" t="s">
        <v>344</v>
      </c>
      <c r="D40" s="84">
        <v>120</v>
      </c>
      <c r="E40" s="84">
        <v>105</v>
      </c>
      <c r="F40" s="84">
        <v>95</v>
      </c>
      <c r="G40" s="84">
        <v>86</v>
      </c>
      <c r="H40" s="84">
        <v>79</v>
      </c>
    </row>
    <row r="41" ht="18" customHeight="1" spans="3:9">
      <c r="C41" s="54" t="s">
        <v>345</v>
      </c>
      <c r="D41" s="84">
        <v>127</v>
      </c>
      <c r="E41" s="84">
        <v>111</v>
      </c>
      <c r="F41" s="84">
        <v>98</v>
      </c>
      <c r="G41" s="84">
        <v>89</v>
      </c>
      <c r="H41" s="84">
        <v>81</v>
      </c>
    </row>
    <row r="42" ht="18" customHeight="1" spans="3:9">
      <c r="C42" s="54" t="s">
        <v>346</v>
      </c>
      <c r="D42" s="84">
        <v>135</v>
      </c>
      <c r="E42" s="84">
        <v>117</v>
      </c>
      <c r="F42" s="84">
        <v>103</v>
      </c>
      <c r="G42" s="84">
        <v>92</v>
      </c>
      <c r="H42" s="84">
        <v>84</v>
      </c>
    </row>
    <row r="43" ht="18" customHeight="1" spans="3:9">
      <c r="C43" s="54" t="s">
        <v>347</v>
      </c>
      <c r="D43" s="84">
        <v>145</v>
      </c>
      <c r="E43" s="84">
        <v>123</v>
      </c>
      <c r="F43" s="84">
        <v>108</v>
      </c>
      <c r="G43" s="84">
        <v>96</v>
      </c>
      <c r="H43" s="84">
        <v>87</v>
      </c>
    </row>
    <row r="44" ht="18" customHeight="1" spans="3:9">
      <c r="C44" s="54" t="s">
        <v>348</v>
      </c>
      <c r="D44" s="85">
        <v>157</v>
      </c>
      <c r="E44" s="84">
        <v>131</v>
      </c>
      <c r="F44" s="84">
        <v>114</v>
      </c>
      <c r="G44" s="84">
        <v>100</v>
      </c>
      <c r="H44" s="84">
        <v>90</v>
      </c>
    </row>
  </sheetData>
  <mergeCells count="6">
    <mergeCell ref="C1:I1"/>
    <mergeCell ref="C4:E4"/>
    <mergeCell ref="G4:I4"/>
    <mergeCell ref="C14:I14"/>
    <mergeCell ref="C27:I27"/>
    <mergeCell ref="C38:I38"/>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D7D31"/>
  </sheetPr>
  <dimension ref="C1:K61"/>
  <sheetViews>
    <sheetView showGridLines="0" workbookViewId="0">
      <selection activeCell="A1" sqref="A1"/>
    </sheetView>
  </sheetViews>
  <sheetFormatPr defaultColWidth="8.67592592592593" defaultRowHeight="14.4"/>
  <cols>
    <col min="1" max="1" width="2" style="1" customWidth="1"/>
    <col min="2" max="2" width="1" style="1" customWidth="1"/>
    <col min="3" max="3" width="32" style="1" customWidth="1"/>
    <col min="4" max="6" width="18" style="1" customWidth="1"/>
    <col min="7" max="7" width="3" style="1" customWidth="1"/>
    <col min="8" max="8" width="32" style="1" customWidth="1"/>
    <col min="9" max="11" width="18" style="1" customWidth="1"/>
    <col min="12" max="12" width="3" style="1" customWidth="1"/>
  </cols>
  <sheetData>
    <row r="1" ht="30" customHeight="1" spans="3:11">
      <c r="C1" s="3" t="s">
        <v>349</v>
      </c>
      <c r="D1" s="3"/>
      <c r="E1" s="3"/>
      <c r="F1" s="3"/>
      <c r="G1" s="3"/>
      <c r="H1" s="3"/>
      <c r="I1" s="3"/>
      <c r="J1" s="3"/>
      <c r="K1" s="3"/>
    </row>
    <row r="2" ht="15" customHeight="1" spans="3:11">
      <c r="C2" s="47" t="s">
        <v>350</v>
      </c>
    </row>
    <row r="4" ht="25.5" customHeight="1" spans="3:11">
      <c r="C4" s="44" t="s">
        <v>351</v>
      </c>
      <c r="D4" s="44"/>
      <c r="E4" s="44"/>
      <c r="F4" s="44"/>
    </row>
    <row r="5" ht="18" customHeight="1" spans="3:11">
      <c r="C5" s="48" t="s">
        <v>352</v>
      </c>
      <c r="D5" s="48" t="s">
        <v>353</v>
      </c>
      <c r="E5" s="48" t="s">
        <v>354</v>
      </c>
      <c r="F5" s="48" t="s">
        <v>355</v>
      </c>
    </row>
    <row r="6" ht="27.75" customHeight="1" spans="3:11">
      <c r="C6" s="49" t="s">
        <v>356</v>
      </c>
      <c r="D6" s="49" t="s">
        <v>357</v>
      </c>
      <c r="E6" s="49" t="s">
        <v>358</v>
      </c>
      <c r="F6" s="49" t="s">
        <v>359</v>
      </c>
    </row>
    <row r="7" ht="27.75" customHeight="1" spans="3:11">
      <c r="C7" s="49" t="s">
        <v>360</v>
      </c>
      <c r="D7" s="49" t="s">
        <v>361</v>
      </c>
      <c r="E7" s="49" t="s">
        <v>362</v>
      </c>
      <c r="F7" s="49" t="s">
        <v>363</v>
      </c>
    </row>
    <row r="8" ht="27.75" customHeight="1" spans="3:11">
      <c r="C8" s="49" t="s">
        <v>364</v>
      </c>
      <c r="D8" s="49" t="s">
        <v>365</v>
      </c>
      <c r="E8" s="49" t="s">
        <v>366</v>
      </c>
      <c r="F8" s="49" t="s">
        <v>367</v>
      </c>
    </row>
    <row r="9" ht="27.75" customHeight="1" spans="3:11">
      <c r="C9" s="49" t="s">
        <v>368</v>
      </c>
      <c r="D9" s="49" t="s">
        <v>369</v>
      </c>
      <c r="E9" s="49" t="s">
        <v>370</v>
      </c>
      <c r="F9" s="49" t="s">
        <v>371</v>
      </c>
    </row>
    <row r="10" ht="27.75" customHeight="1" spans="3:11">
      <c r="C10" s="49" t="s">
        <v>372</v>
      </c>
      <c r="D10" s="49" t="s">
        <v>373</v>
      </c>
      <c r="E10" s="49" t="s">
        <v>374</v>
      </c>
      <c r="F10" s="49" t="s">
        <v>375</v>
      </c>
    </row>
    <row r="11" ht="15.75" customHeight="1" spans="3:11">
      <c r="C11" s="50" t="s">
        <v>376</v>
      </c>
      <c r="D11" s="51" t="s">
        <v>377</v>
      </c>
    </row>
    <row r="12" ht="15.75" customHeight="1" spans="3:11">
      <c r="C12" s="50" t="s">
        <v>360</v>
      </c>
      <c r="D12" s="51" t="s">
        <v>378</v>
      </c>
    </row>
    <row r="13" ht="15.75" customHeight="1" spans="3:11">
      <c r="C13" s="50" t="s">
        <v>379</v>
      </c>
      <c r="D13" s="51" t="s">
        <v>380</v>
      </c>
    </row>
    <row r="14" ht="15.75" customHeight="1" spans="3:11">
      <c r="C14" s="50" t="s">
        <v>381</v>
      </c>
      <c r="D14" s="51" t="s">
        <v>382</v>
      </c>
    </row>
    <row r="15" ht="15.75" customHeight="1" spans="3:11">
      <c r="C15" s="50" t="s">
        <v>383</v>
      </c>
      <c r="D15" s="51" t="s">
        <v>384</v>
      </c>
    </row>
    <row r="16" ht="15.75" customHeight="1" spans="3:11">
      <c r="C16" s="50" t="s">
        <v>385</v>
      </c>
      <c r="D16" s="51" t="s">
        <v>386</v>
      </c>
    </row>
    <row r="17" ht="15.75" customHeight="1" spans="3:6">
      <c r="C17" s="50" t="s">
        <v>387</v>
      </c>
      <c r="D17" s="51" t="s">
        <v>388</v>
      </c>
    </row>
    <row r="20" ht="25.5" customHeight="1" spans="3:6">
      <c r="C20" s="41" t="s">
        <v>389</v>
      </c>
      <c r="D20" s="41"/>
      <c r="E20" s="41"/>
      <c r="F20" s="41"/>
    </row>
    <row r="21" ht="18" customHeight="1" spans="3:6">
      <c r="C21" s="48" t="s">
        <v>352</v>
      </c>
      <c r="D21" s="48" t="s">
        <v>353</v>
      </c>
      <c r="E21" s="48" t="s">
        <v>354</v>
      </c>
      <c r="F21" s="48" t="s">
        <v>355</v>
      </c>
    </row>
    <row r="22" ht="27.75" customHeight="1" spans="3:6">
      <c r="C22" s="52" t="s">
        <v>356</v>
      </c>
      <c r="D22" s="52" t="s">
        <v>390</v>
      </c>
      <c r="E22" s="52" t="s">
        <v>391</v>
      </c>
      <c r="F22" s="52" t="s">
        <v>392</v>
      </c>
    </row>
    <row r="23" ht="27.75" customHeight="1" spans="3:6">
      <c r="C23" s="52" t="s">
        <v>360</v>
      </c>
      <c r="D23" s="52" t="s">
        <v>393</v>
      </c>
      <c r="E23" s="52" t="s">
        <v>394</v>
      </c>
      <c r="F23" s="52" t="s">
        <v>395</v>
      </c>
    </row>
    <row r="24" ht="27.75" customHeight="1" spans="3:6">
      <c r="C24" s="52" t="s">
        <v>364</v>
      </c>
      <c r="D24" s="52" t="s">
        <v>396</v>
      </c>
      <c r="E24" s="52" t="s">
        <v>397</v>
      </c>
      <c r="F24" s="52" t="s">
        <v>398</v>
      </c>
    </row>
    <row r="25" ht="27.75" customHeight="1" spans="3:6">
      <c r="C25" s="52" t="s">
        <v>368</v>
      </c>
      <c r="D25" s="52" t="s">
        <v>399</v>
      </c>
      <c r="E25" s="52" t="s">
        <v>400</v>
      </c>
      <c r="F25" s="52" t="s">
        <v>401</v>
      </c>
    </row>
    <row r="26" ht="27.75" customHeight="1" spans="3:6">
      <c r="C26" s="52" t="s">
        <v>372</v>
      </c>
      <c r="D26" s="52" t="s">
        <v>402</v>
      </c>
      <c r="E26" s="52" t="s">
        <v>403</v>
      </c>
      <c r="F26" s="52" t="s">
        <v>404</v>
      </c>
    </row>
    <row r="27" ht="15.75" customHeight="1" spans="3:6">
      <c r="C27" s="53" t="s">
        <v>376</v>
      </c>
      <c r="D27" s="54" t="s">
        <v>405</v>
      </c>
    </row>
    <row r="28" ht="15.75" customHeight="1" spans="3:6">
      <c r="C28" s="53" t="s">
        <v>360</v>
      </c>
      <c r="D28" s="54" t="s">
        <v>406</v>
      </c>
    </row>
    <row r="29" ht="15.75" customHeight="1" spans="3:6">
      <c r="C29" s="53" t="s">
        <v>379</v>
      </c>
      <c r="D29" s="54" t="s">
        <v>407</v>
      </c>
    </row>
    <row r="30" ht="15.75" customHeight="1" spans="3:6">
      <c r="C30" s="53" t="s">
        <v>381</v>
      </c>
      <c r="D30" s="54" t="s">
        <v>408</v>
      </c>
    </row>
    <row r="31" ht="15.75" customHeight="1" spans="3:6">
      <c r="C31" s="53" t="s">
        <v>383</v>
      </c>
      <c r="D31" s="54" t="s">
        <v>409</v>
      </c>
    </row>
    <row r="32" ht="15.75" customHeight="1" spans="3:6">
      <c r="C32" s="53" t="s">
        <v>385</v>
      </c>
      <c r="D32" s="54" t="s">
        <v>410</v>
      </c>
    </row>
    <row r="33" ht="15.75" customHeight="1" spans="3:6">
      <c r="C33" s="53" t="s">
        <v>387</v>
      </c>
      <c r="D33" s="54" t="s">
        <v>411</v>
      </c>
    </row>
    <row r="36" ht="25.5" customHeight="1" spans="3:6">
      <c r="C36" s="38" t="s">
        <v>412</v>
      </c>
      <c r="D36" s="38"/>
      <c r="E36" s="38"/>
      <c r="F36" s="38"/>
    </row>
    <row r="37" ht="18" customHeight="1" spans="3:6">
      <c r="C37" s="48" t="s">
        <v>352</v>
      </c>
      <c r="D37" s="48" t="s">
        <v>353</v>
      </c>
      <c r="E37" s="48" t="s">
        <v>354</v>
      </c>
      <c r="F37" s="48" t="s">
        <v>355</v>
      </c>
    </row>
    <row r="38" ht="27.75" customHeight="1" spans="3:6">
      <c r="C38" s="55" t="s">
        <v>356</v>
      </c>
      <c r="D38" s="55" t="s">
        <v>413</v>
      </c>
      <c r="E38" s="55" t="s">
        <v>414</v>
      </c>
      <c r="F38" s="55" t="s">
        <v>415</v>
      </c>
    </row>
    <row r="39" ht="27.75" customHeight="1" spans="3:6">
      <c r="C39" s="55" t="s">
        <v>360</v>
      </c>
      <c r="D39" s="55" t="s">
        <v>416</v>
      </c>
      <c r="E39" s="55" t="s">
        <v>417</v>
      </c>
      <c r="F39" s="55" t="s">
        <v>418</v>
      </c>
    </row>
    <row r="40" ht="27.75" customHeight="1" spans="3:6">
      <c r="C40" s="55" t="s">
        <v>364</v>
      </c>
      <c r="D40" s="55" t="s">
        <v>419</v>
      </c>
      <c r="E40" s="55" t="s">
        <v>420</v>
      </c>
      <c r="F40" s="55" t="s">
        <v>421</v>
      </c>
    </row>
    <row r="41" ht="27.75" customHeight="1" spans="3:6">
      <c r="C41" s="55" t="s">
        <v>368</v>
      </c>
      <c r="D41" s="55" t="s">
        <v>422</v>
      </c>
      <c r="E41" s="55" t="s">
        <v>423</v>
      </c>
      <c r="F41" s="55" t="s">
        <v>424</v>
      </c>
    </row>
    <row r="42" ht="27.75" customHeight="1" spans="3:6">
      <c r="C42" s="55" t="s">
        <v>372</v>
      </c>
      <c r="D42" s="55" t="s">
        <v>425</v>
      </c>
      <c r="E42" s="55" t="s">
        <v>426</v>
      </c>
      <c r="F42" s="55" t="s">
        <v>427</v>
      </c>
    </row>
    <row r="43" ht="15.75" customHeight="1" spans="3:6">
      <c r="C43" s="56" t="s">
        <v>376</v>
      </c>
      <c r="D43" s="57" t="s">
        <v>428</v>
      </c>
    </row>
    <row r="44" ht="15.75" customHeight="1" spans="3:6">
      <c r="C44" s="56" t="s">
        <v>360</v>
      </c>
      <c r="D44" s="57" t="s">
        <v>429</v>
      </c>
    </row>
    <row r="45" ht="15.75" customHeight="1" spans="3:6">
      <c r="C45" s="56" t="s">
        <v>379</v>
      </c>
      <c r="D45" s="57" t="s">
        <v>430</v>
      </c>
    </row>
    <row r="46" ht="15.75" customHeight="1" spans="3:6">
      <c r="C46" s="56" t="s">
        <v>381</v>
      </c>
      <c r="D46" s="57" t="s">
        <v>431</v>
      </c>
    </row>
    <row r="47" ht="15.75" customHeight="1" spans="3:6">
      <c r="C47" s="56" t="s">
        <v>383</v>
      </c>
      <c r="D47" s="57" t="s">
        <v>432</v>
      </c>
    </row>
    <row r="48" ht="15.75" customHeight="1" spans="3:6">
      <c r="C48" s="56" t="s">
        <v>385</v>
      </c>
      <c r="D48" s="57" t="s">
        <v>433</v>
      </c>
    </row>
    <row r="49" ht="15.75" customHeight="1" spans="3:11">
      <c r="C49" s="56" t="s">
        <v>387</v>
      </c>
      <c r="D49" s="57" t="s">
        <v>434</v>
      </c>
    </row>
    <row r="52" ht="21.75" customHeight="1" spans="3:11">
      <c r="C52" s="36" t="s">
        <v>435</v>
      </c>
      <c r="D52" s="36"/>
      <c r="E52" s="36"/>
      <c r="F52" s="36"/>
      <c r="G52" s="36"/>
      <c r="H52" s="36"/>
      <c r="I52" s="36"/>
      <c r="J52" s="36"/>
      <c r="K52" s="36"/>
    </row>
    <row r="53" ht="19.5" customHeight="1" spans="3:11">
      <c r="C53" s="48" t="s">
        <v>436</v>
      </c>
      <c r="D53" s="48" t="s">
        <v>437</v>
      </c>
      <c r="E53" s="48" t="s">
        <v>438</v>
      </c>
      <c r="F53" s="48" t="s">
        <v>439</v>
      </c>
      <c r="G53" s="48" t="s">
        <v>440</v>
      </c>
      <c r="H53" s="48" t="s">
        <v>441</v>
      </c>
      <c r="I53" s="1" t="s">
        <v>440</v>
      </c>
      <c r="J53" s="1" t="s">
        <v>441</v>
      </c>
    </row>
    <row r="54" ht="18" customHeight="1" spans="3:11">
      <c r="C54" s="58" t="s">
        <v>442</v>
      </c>
      <c r="D54" s="59" t="s">
        <v>443</v>
      </c>
      <c r="E54" s="60" t="s">
        <v>444</v>
      </c>
      <c r="F54" s="61" t="s">
        <v>445</v>
      </c>
      <c r="G54" s="62" t="s">
        <v>446</v>
      </c>
      <c r="H54" s="62" t="s">
        <v>447</v>
      </c>
    </row>
    <row r="55" ht="18" customHeight="1" spans="3:11">
      <c r="C55" s="58" t="s">
        <v>379</v>
      </c>
      <c r="D55" s="59" t="s">
        <v>448</v>
      </c>
      <c r="E55" s="60" t="s">
        <v>449</v>
      </c>
      <c r="F55" s="61" t="s">
        <v>450</v>
      </c>
      <c r="G55" s="62" t="s">
        <v>451</v>
      </c>
      <c r="H55" s="62" t="s">
        <v>452</v>
      </c>
    </row>
    <row r="56" ht="18" customHeight="1" spans="3:11">
      <c r="C56" s="58" t="s">
        <v>453</v>
      </c>
      <c r="D56" s="59" t="s">
        <v>454</v>
      </c>
      <c r="E56" s="60" t="s">
        <v>455</v>
      </c>
      <c r="F56" s="61" t="s">
        <v>456</v>
      </c>
      <c r="G56" s="62" t="s">
        <v>457</v>
      </c>
      <c r="H56" s="62" t="s">
        <v>458</v>
      </c>
    </row>
    <row r="57" ht="18" customHeight="1" spans="3:11">
      <c r="C57" s="58" t="s">
        <v>459</v>
      </c>
      <c r="D57" s="59" t="s">
        <v>460</v>
      </c>
      <c r="E57" s="60" t="s">
        <v>461</v>
      </c>
      <c r="F57" s="61" t="s">
        <v>462</v>
      </c>
      <c r="G57" s="62" t="s">
        <v>463</v>
      </c>
      <c r="H57" s="62" t="s">
        <v>464</v>
      </c>
    </row>
    <row r="58" ht="18" customHeight="1" spans="3:11">
      <c r="C58" s="58" t="s">
        <v>465</v>
      </c>
      <c r="D58" s="59" t="s">
        <v>466</v>
      </c>
      <c r="E58" s="60" t="s">
        <v>467</v>
      </c>
      <c r="F58" s="61" t="s">
        <v>468</v>
      </c>
      <c r="G58" s="62" t="s">
        <v>469</v>
      </c>
      <c r="H58" s="62" t="s">
        <v>470</v>
      </c>
    </row>
    <row r="59" ht="18" customHeight="1" spans="3:11">
      <c r="C59" s="58" t="s">
        <v>471</v>
      </c>
      <c r="D59" s="59" t="s">
        <v>386</v>
      </c>
      <c r="E59" s="60" t="s">
        <v>410</v>
      </c>
      <c r="F59" s="61" t="s">
        <v>433</v>
      </c>
      <c r="G59" s="62" t="s">
        <v>472</v>
      </c>
      <c r="H59" s="62" t="s">
        <v>473</v>
      </c>
    </row>
    <row r="60" ht="18" customHeight="1" spans="3:11">
      <c r="C60" s="58" t="s">
        <v>474</v>
      </c>
      <c r="D60" s="59" t="s">
        <v>388</v>
      </c>
      <c r="E60" s="60" t="s">
        <v>411</v>
      </c>
      <c r="F60" s="61" t="s">
        <v>434</v>
      </c>
      <c r="G60" s="62" t="s">
        <v>475</v>
      </c>
      <c r="H60" s="62" t="s">
        <v>476</v>
      </c>
    </row>
    <row r="61" ht="18" customHeight="1" spans="3:11">
      <c r="C61" s="58" t="s">
        <v>477</v>
      </c>
      <c r="D61" s="59" t="s">
        <v>478</v>
      </c>
      <c r="E61" s="60" t="s">
        <v>479</v>
      </c>
      <c r="F61" s="61" t="s">
        <v>480</v>
      </c>
      <c r="G61" s="62" t="s">
        <v>481</v>
      </c>
      <c r="H61" s="62" t="s">
        <v>482</v>
      </c>
    </row>
  </sheetData>
  <mergeCells count="5">
    <mergeCell ref="C1:K1"/>
    <mergeCell ref="C4:F4"/>
    <mergeCell ref="C20:F20"/>
    <mergeCell ref="C36:F36"/>
    <mergeCell ref="C52:K52"/>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U59"/>
  <sheetViews>
    <sheetView showGridLines="0" workbookViewId="0">
      <selection activeCell="A1" sqref="A1"/>
    </sheetView>
  </sheetViews>
  <sheetFormatPr defaultColWidth="8.67592592592593" defaultRowHeight="14.4"/>
  <cols>
    <col min="1" max="2" width="1.50925925925926" style="1" customWidth="1"/>
    <col min="3" max="13" width="14" style="1" customWidth="1"/>
    <col min="14" max="14" width="1.50925925925926" style="1" customWidth="1"/>
  </cols>
  <sheetData>
    <row r="1" ht="36" customHeight="1" spans="1:21">
      <c r="A1" s="13"/>
      <c r="B1" s="14" t="s">
        <v>483</v>
      </c>
      <c r="C1" s="14"/>
      <c r="D1" s="14"/>
      <c r="E1" s="14"/>
      <c r="F1" s="14"/>
      <c r="G1" s="14"/>
      <c r="H1" s="14"/>
      <c r="I1" s="14"/>
      <c r="J1" s="14"/>
      <c r="K1" s="14"/>
      <c r="L1" s="14"/>
      <c r="M1" s="14"/>
      <c r="N1" s="13"/>
      <c r="O1" s="13"/>
      <c r="P1" s="13"/>
      <c r="Q1" s="13"/>
      <c r="R1" s="13"/>
      <c r="S1" s="13"/>
      <c r="T1" s="13"/>
      <c r="U1" s="13"/>
    </row>
    <row r="2" ht="18" customHeight="1" spans="1:21">
      <c r="A2" s="13"/>
      <c r="B2" s="15" t="s">
        <v>484</v>
      </c>
      <c r="C2" s="15"/>
      <c r="D2" s="15"/>
      <c r="E2" s="15"/>
      <c r="F2" s="15"/>
      <c r="G2" s="15"/>
      <c r="H2" s="15"/>
      <c r="I2" s="15"/>
      <c r="J2" s="15"/>
      <c r="K2" s="15"/>
      <c r="L2" s="15"/>
      <c r="M2" s="15"/>
      <c r="N2" s="13"/>
      <c r="O2" s="13"/>
      <c r="P2" s="13"/>
      <c r="Q2" s="13"/>
      <c r="R2" s="13"/>
      <c r="S2" s="13"/>
      <c r="T2" s="13"/>
      <c r="U2" s="13"/>
    </row>
    <row r="3" ht="15" customHeight="1" spans="1:21">
      <c r="A3" s="13"/>
      <c r="B3" s="13"/>
      <c r="C3" s="13"/>
      <c r="D3" s="13"/>
      <c r="E3" s="13"/>
      <c r="F3" s="13"/>
      <c r="G3" s="13"/>
      <c r="H3" s="13"/>
      <c r="I3" s="13"/>
      <c r="J3" s="13"/>
      <c r="K3" s="13"/>
      <c r="L3" s="13"/>
      <c r="M3" s="13"/>
      <c r="N3" s="13"/>
      <c r="O3" s="13"/>
      <c r="P3" s="13"/>
      <c r="Q3" s="13"/>
      <c r="R3" s="13"/>
      <c r="S3" s="13"/>
      <c r="T3" s="13"/>
      <c r="U3" s="13"/>
    </row>
    <row r="4" ht="18" customHeight="1" spans="1:21">
      <c r="A4" s="13"/>
      <c r="B4" s="13"/>
      <c r="C4" s="16" t="s">
        <v>485</v>
      </c>
      <c r="D4" s="16"/>
      <c r="E4" s="17" t="s">
        <v>486</v>
      </c>
      <c r="F4" s="17"/>
      <c r="G4" s="18" t="s">
        <v>487</v>
      </c>
      <c r="H4" s="18"/>
      <c r="I4" s="19" t="s">
        <v>488</v>
      </c>
      <c r="J4" s="19"/>
      <c r="K4" s="20" t="s">
        <v>489</v>
      </c>
      <c r="L4" s="20"/>
      <c r="M4" s="13"/>
      <c r="N4" s="13"/>
      <c r="O4" s="13"/>
      <c r="P4" s="13"/>
      <c r="Q4" s="13"/>
      <c r="R4" s="13"/>
      <c r="S4" s="13"/>
      <c r="T4" s="13"/>
      <c r="U4" s="13"/>
    </row>
    <row r="5" ht="18" customHeight="1" spans="1:21">
      <c r="A5" s="13"/>
      <c r="B5" s="13"/>
      <c r="C5" s="21" t="s">
        <v>490</v>
      </c>
      <c r="D5" s="21"/>
      <c r="E5" s="22" t="s">
        <v>491</v>
      </c>
      <c r="F5" s="22"/>
      <c r="G5" s="23" t="s">
        <v>205</v>
      </c>
      <c r="H5" s="23"/>
      <c r="I5" s="24" t="s">
        <v>492</v>
      </c>
      <c r="J5" s="24"/>
      <c r="K5" s="25" t="s">
        <v>410</v>
      </c>
      <c r="L5" s="25"/>
      <c r="M5" s="13"/>
      <c r="N5" s="13"/>
      <c r="O5" s="13"/>
      <c r="P5" s="13"/>
      <c r="Q5" s="13"/>
      <c r="R5" s="13"/>
      <c r="S5" s="13"/>
      <c r="T5" s="13"/>
      <c r="U5" s="13"/>
    </row>
    <row r="6" ht="18" customHeight="1" spans="1:21">
      <c r="A6" s="13"/>
      <c r="B6" s="13"/>
      <c r="C6" s="21"/>
      <c r="D6" s="21"/>
      <c r="E6" s="22"/>
      <c r="F6" s="22"/>
      <c r="G6" s="23"/>
      <c r="H6" s="23"/>
      <c r="I6" s="24"/>
      <c r="J6" s="24"/>
      <c r="K6" s="25"/>
      <c r="L6" s="25"/>
      <c r="M6" s="13"/>
      <c r="N6" s="13"/>
      <c r="O6" s="13"/>
      <c r="P6" s="13"/>
      <c r="Q6" s="13"/>
      <c r="R6" s="13"/>
      <c r="S6" s="13"/>
      <c r="T6" s="13"/>
      <c r="U6" s="13"/>
    </row>
    <row r="7" ht="18" customHeight="1" spans="1:21">
      <c r="A7" s="13"/>
      <c r="B7" s="13"/>
      <c r="C7" s="26" t="s">
        <v>493</v>
      </c>
      <c r="D7" s="26"/>
      <c r="E7" s="27" t="s">
        <v>494</v>
      </c>
      <c r="F7" s="27"/>
      <c r="G7" s="28" t="s">
        <v>495</v>
      </c>
      <c r="H7" s="28"/>
      <c r="I7" s="29" t="s">
        <v>496</v>
      </c>
      <c r="J7" s="29"/>
      <c r="K7" s="30" t="s">
        <v>497</v>
      </c>
      <c r="L7" s="30"/>
      <c r="M7" s="13"/>
      <c r="N7" s="13"/>
      <c r="O7" s="13"/>
      <c r="P7" s="13"/>
      <c r="Q7" s="13"/>
      <c r="R7" s="13"/>
      <c r="S7" s="13"/>
      <c r="T7" s="13"/>
      <c r="U7" s="13"/>
    </row>
    <row r="8" ht="18" customHeight="1" spans="1:21">
      <c r="A8" s="13"/>
      <c r="B8" s="13"/>
      <c r="C8" s="13"/>
      <c r="D8" s="13"/>
      <c r="E8" s="13"/>
      <c r="F8" s="13"/>
      <c r="G8" s="13"/>
      <c r="H8" s="13"/>
      <c r="I8" s="13"/>
      <c r="J8" s="13"/>
      <c r="K8" s="13"/>
      <c r="L8" s="13"/>
      <c r="M8" s="13"/>
      <c r="N8" s="13"/>
      <c r="O8" s="13"/>
      <c r="P8" s="13"/>
      <c r="Q8" s="13"/>
      <c r="R8" s="13"/>
      <c r="S8" s="13"/>
      <c r="T8" s="13"/>
      <c r="U8" s="13"/>
    </row>
    <row r="9" ht="7.5" customHeight="1" spans="1:21">
      <c r="A9" s="13"/>
      <c r="B9" s="13"/>
      <c r="C9" s="13"/>
      <c r="D9" s="13"/>
      <c r="E9" s="13"/>
      <c r="F9" s="13"/>
      <c r="G9" s="13"/>
      <c r="H9" s="13"/>
      <c r="I9" s="13"/>
      <c r="J9" s="13"/>
      <c r="K9" s="13"/>
      <c r="L9" s="13"/>
      <c r="M9" s="13"/>
      <c r="N9" s="13"/>
      <c r="O9" s="13"/>
      <c r="P9" s="13"/>
      <c r="Q9" s="13"/>
      <c r="R9" s="13"/>
      <c r="S9" s="13"/>
      <c r="T9" s="13"/>
      <c r="U9" s="13"/>
    </row>
    <row r="10" ht="15" customHeight="1" spans="1:21">
      <c r="A10" s="13"/>
      <c r="B10" s="31" t="s">
        <v>498</v>
      </c>
      <c r="C10" s="13"/>
      <c r="D10" s="13"/>
      <c r="E10" s="13"/>
      <c r="F10" s="13"/>
      <c r="G10" s="13"/>
      <c r="H10" s="13"/>
      <c r="I10" s="13"/>
      <c r="J10" s="13"/>
      <c r="K10" s="13"/>
      <c r="L10" s="13"/>
      <c r="M10" s="13"/>
      <c r="N10" s="13"/>
      <c r="O10" s="13"/>
      <c r="P10" s="13"/>
      <c r="Q10" s="13"/>
      <c r="R10" s="13"/>
      <c r="S10" s="13"/>
      <c r="T10" s="13"/>
      <c r="U10" s="13"/>
    </row>
    <row r="11" ht="15" customHeight="1" spans="1:21">
      <c r="A11" s="13"/>
      <c r="B11" s="32" t="s">
        <v>499</v>
      </c>
      <c r="C11" s="33" t="s">
        <v>98</v>
      </c>
      <c r="D11" s="33" t="s">
        <v>99</v>
      </c>
      <c r="E11" s="33" t="s">
        <v>100</v>
      </c>
      <c r="F11" s="33" t="s">
        <v>101</v>
      </c>
      <c r="G11" s="33" t="s">
        <v>102</v>
      </c>
      <c r="H11" s="33" t="s">
        <v>49</v>
      </c>
      <c r="I11" s="33" t="s">
        <v>50</v>
      </c>
      <c r="J11" s="33" t="s">
        <v>51</v>
      </c>
      <c r="K11" s="33" t="s">
        <v>52</v>
      </c>
      <c r="L11" s="33" t="s">
        <v>53</v>
      </c>
      <c r="M11" s="13"/>
      <c r="N11" s="13"/>
      <c r="O11" s="13"/>
      <c r="P11" s="13"/>
      <c r="Q11" s="13"/>
      <c r="R11" s="13"/>
      <c r="S11" s="13"/>
      <c r="T11" s="13"/>
      <c r="U11" s="13"/>
    </row>
    <row r="12" ht="15.75" customHeight="1" spans="1:21">
      <c r="A12" s="13"/>
      <c r="B12" s="34" t="s">
        <v>500</v>
      </c>
      <c r="C12" s="35">
        <v>274515</v>
      </c>
      <c r="D12" s="35">
        <v>365817</v>
      </c>
      <c r="E12" s="35">
        <v>394328</v>
      </c>
      <c r="F12" s="35">
        <v>383285</v>
      </c>
      <c r="G12" s="35">
        <v>391035</v>
      </c>
      <c r="H12" s="35">
        <v>415000</v>
      </c>
      <c r="I12" s="35">
        <v>445000</v>
      </c>
      <c r="J12" s="35">
        <v>475000</v>
      </c>
      <c r="K12" s="35">
        <v>510000</v>
      </c>
      <c r="L12" s="35">
        <v>545000</v>
      </c>
      <c r="M12" s="13"/>
      <c r="N12" s="13"/>
      <c r="O12" s="13"/>
      <c r="P12" s="13"/>
      <c r="Q12" s="13"/>
      <c r="R12" s="13"/>
      <c r="S12" s="13"/>
      <c r="T12" s="13"/>
      <c r="U12" s="13"/>
    </row>
    <row r="13" ht="15.75" customHeight="1" spans="1:21">
      <c r="A13" s="13"/>
      <c r="B13" s="34" t="s">
        <v>123</v>
      </c>
      <c r="C13" s="35">
        <v>57411</v>
      </c>
      <c r="D13" s="35">
        <v>94680</v>
      </c>
      <c r="E13" s="35">
        <v>99803</v>
      </c>
      <c r="F13" s="35">
        <v>96995</v>
      </c>
      <c r="G13" s="35">
        <v>93736</v>
      </c>
      <c r="H13" s="35">
        <v>97000</v>
      </c>
      <c r="I13" s="35">
        <v>104000</v>
      </c>
      <c r="J13" s="35">
        <v>112000</v>
      </c>
      <c r="K13" s="35">
        <v>120000</v>
      </c>
      <c r="L13" s="35">
        <v>130000</v>
      </c>
      <c r="M13" s="13"/>
      <c r="N13" s="13"/>
      <c r="O13" s="13"/>
      <c r="P13" s="13"/>
      <c r="Q13" s="13"/>
      <c r="R13" s="13"/>
      <c r="S13" s="13"/>
      <c r="T13" s="13"/>
      <c r="U13" s="13"/>
    </row>
    <row r="14" ht="15.75" customHeight="1" spans="1:21">
      <c r="A14" s="13"/>
      <c r="B14" s="34" t="s">
        <v>501</v>
      </c>
      <c r="C14" s="35">
        <v>73365</v>
      </c>
      <c r="D14" s="35">
        <v>92953</v>
      </c>
      <c r="E14" s="35">
        <v>111443</v>
      </c>
      <c r="F14" s="35">
        <v>99584</v>
      </c>
      <c r="G14" s="35">
        <v>108807</v>
      </c>
      <c r="H14" s="35">
        <v>120000</v>
      </c>
      <c r="I14" s="35">
        <v>130000</v>
      </c>
      <c r="J14" s="35">
        <v>140000</v>
      </c>
      <c r="K14" s="35">
        <v>152000</v>
      </c>
      <c r="L14" s="35">
        <v>164000</v>
      </c>
      <c r="M14" s="13"/>
      <c r="N14" s="13"/>
      <c r="O14" s="13"/>
      <c r="P14" s="13"/>
      <c r="Q14" s="13"/>
      <c r="R14" s="13"/>
      <c r="S14" s="13"/>
      <c r="T14" s="13"/>
      <c r="U14" s="13"/>
    </row>
    <row r="15" ht="15.75" customHeight="1" spans="1:21">
      <c r="A15" s="13"/>
      <c r="B15" s="34" t="s">
        <v>60</v>
      </c>
      <c r="C15" s="35">
        <v>0.3823</v>
      </c>
      <c r="D15" s="35">
        <v>0.4178</v>
      </c>
      <c r="E15" s="35">
        <v>0.4331</v>
      </c>
      <c r="F15" s="35">
        <v>0.4413</v>
      </c>
      <c r="G15" s="35">
        <v>0.4621</v>
      </c>
      <c r="H15" s="35">
        <v>0.465</v>
      </c>
      <c r="I15" s="35">
        <v>0.47</v>
      </c>
      <c r="J15" s="35">
        <v>0.475</v>
      </c>
      <c r="K15" s="35">
        <v>0.478</v>
      </c>
      <c r="L15" s="35">
        <v>0.48</v>
      </c>
      <c r="M15" s="13"/>
      <c r="N15" s="13"/>
      <c r="O15" s="13"/>
      <c r="P15" s="13"/>
      <c r="Q15" s="13"/>
      <c r="R15" s="13"/>
      <c r="S15" s="13"/>
      <c r="T15" s="13"/>
      <c r="U15" s="13"/>
    </row>
    <row r="16" ht="15.75" customHeight="1" spans="1:21">
      <c r="A16" s="13"/>
      <c r="B16" s="34" t="s">
        <v>118</v>
      </c>
      <c r="C16" s="35">
        <v>77344</v>
      </c>
      <c r="D16" s="35">
        <v>120233</v>
      </c>
      <c r="E16" s="35">
        <v>130541</v>
      </c>
      <c r="F16" s="35">
        <v>125820</v>
      </c>
      <c r="G16" s="35">
        <v>134661</v>
      </c>
      <c r="H16" s="35">
        <v>143000</v>
      </c>
      <c r="I16" s="35">
        <v>154000</v>
      </c>
      <c r="J16" s="35">
        <v>165000</v>
      </c>
      <c r="K16" s="35">
        <v>177000</v>
      </c>
      <c r="L16" s="35">
        <v>190000</v>
      </c>
      <c r="M16" s="13"/>
      <c r="N16" s="13"/>
      <c r="O16" s="13"/>
      <c r="P16" s="13"/>
      <c r="Q16" s="13"/>
      <c r="R16" s="13"/>
      <c r="S16" s="13"/>
      <c r="T16" s="13"/>
      <c r="U16" s="13"/>
    </row>
    <row r="17" ht="15" customHeight="1" spans="1:21">
      <c r="A17" s="13"/>
      <c r="B17" s="13"/>
      <c r="C17" s="13"/>
      <c r="D17" s="13"/>
      <c r="E17" s="13"/>
      <c r="F17" s="13"/>
      <c r="G17" s="13"/>
      <c r="H17" s="13"/>
      <c r="I17" s="13"/>
      <c r="J17" s="13"/>
      <c r="K17" s="13"/>
      <c r="L17" s="13"/>
      <c r="M17" s="13"/>
      <c r="N17" s="13"/>
      <c r="O17" s="13"/>
      <c r="P17" s="13"/>
      <c r="Q17" s="13"/>
      <c r="R17" s="13"/>
      <c r="S17" s="13"/>
      <c r="T17" s="13"/>
      <c r="U17" s="13"/>
    </row>
    <row r="18" ht="15" customHeight="1" spans="1:21">
      <c r="A18" s="13"/>
      <c r="B18" s="13"/>
      <c r="C18" s="13"/>
      <c r="D18" s="13"/>
      <c r="E18" s="13"/>
      <c r="F18" s="13"/>
      <c r="G18" s="13"/>
      <c r="H18" s="13"/>
      <c r="I18" s="13"/>
      <c r="J18" s="13"/>
      <c r="K18" s="13"/>
      <c r="L18" s="13"/>
      <c r="M18" s="13"/>
      <c r="N18" s="13"/>
      <c r="O18" s="13"/>
      <c r="P18" s="13"/>
      <c r="Q18" s="13"/>
      <c r="R18" s="13"/>
      <c r="S18" s="13"/>
      <c r="T18" s="13"/>
      <c r="U18" s="13"/>
    </row>
    <row r="19" ht="15" customHeight="1" spans="1:21">
      <c r="A19" s="13"/>
      <c r="B19" s="13"/>
      <c r="C19" s="13"/>
      <c r="D19" s="13"/>
      <c r="E19" s="13"/>
      <c r="F19" s="13"/>
      <c r="G19" s="13"/>
      <c r="H19" s="13"/>
      <c r="I19" s="13"/>
      <c r="J19" s="13"/>
      <c r="K19" s="13"/>
      <c r="L19" s="13"/>
      <c r="M19" s="13"/>
      <c r="N19" s="13"/>
      <c r="O19" s="13"/>
      <c r="P19" s="13"/>
      <c r="Q19" s="13"/>
      <c r="R19" s="13"/>
      <c r="S19" s="13"/>
      <c r="T19" s="13"/>
      <c r="U19" s="13"/>
    </row>
    <row r="20" ht="15" customHeight="1" spans="1:21">
      <c r="A20" s="13"/>
      <c r="B20" s="13"/>
      <c r="C20" s="13"/>
      <c r="D20" s="13"/>
      <c r="E20" s="13"/>
      <c r="F20" s="13"/>
      <c r="G20" s="13"/>
      <c r="H20" s="13"/>
      <c r="I20" s="13"/>
      <c r="J20" s="13"/>
      <c r="K20" s="13"/>
      <c r="L20" s="13"/>
      <c r="M20" s="13"/>
      <c r="N20" s="13"/>
      <c r="O20" s="13"/>
      <c r="P20" s="13"/>
      <c r="Q20" s="13"/>
      <c r="R20" s="13"/>
      <c r="S20" s="13"/>
      <c r="T20" s="13"/>
      <c r="U20" s="13"/>
    </row>
    <row r="21" ht="15" customHeight="1" spans="1:21">
      <c r="A21" s="13"/>
      <c r="B21" s="13"/>
      <c r="C21" s="13"/>
      <c r="D21" s="13"/>
      <c r="E21" s="13"/>
      <c r="F21" s="13"/>
      <c r="G21" s="13"/>
      <c r="H21" s="13"/>
      <c r="I21" s="13"/>
      <c r="J21" s="13"/>
      <c r="K21" s="13"/>
      <c r="L21" s="13"/>
      <c r="M21" s="13"/>
      <c r="N21" s="13"/>
      <c r="O21" s="13"/>
      <c r="P21" s="13"/>
      <c r="Q21" s="13"/>
      <c r="R21" s="13"/>
      <c r="S21" s="13"/>
      <c r="T21" s="13"/>
      <c r="U21" s="13"/>
    </row>
    <row r="22" ht="15" customHeight="1" spans="1:21">
      <c r="A22" s="13"/>
      <c r="B22" s="13"/>
      <c r="C22" s="13"/>
      <c r="D22" s="13"/>
      <c r="E22" s="13"/>
      <c r="F22" s="13"/>
      <c r="G22" s="13"/>
      <c r="H22" s="13"/>
      <c r="I22" s="13"/>
      <c r="J22" s="13"/>
      <c r="K22" s="13"/>
      <c r="L22" s="13"/>
      <c r="M22" s="13"/>
      <c r="N22" s="13"/>
      <c r="O22" s="13"/>
      <c r="P22" s="13"/>
      <c r="Q22" s="13"/>
      <c r="R22" s="13"/>
      <c r="S22" s="13"/>
      <c r="T22" s="13"/>
      <c r="U22" s="13"/>
    </row>
    <row r="23" ht="15" customHeight="1" spans="1:21">
      <c r="A23" s="13"/>
      <c r="B23" s="13"/>
      <c r="C23" s="13"/>
      <c r="D23" s="13"/>
      <c r="E23" s="13"/>
      <c r="F23" s="13"/>
      <c r="G23" s="13"/>
      <c r="H23" s="13"/>
      <c r="I23" s="13"/>
      <c r="J23" s="13"/>
      <c r="K23" s="13"/>
      <c r="L23" s="13"/>
      <c r="M23" s="13"/>
      <c r="N23" s="13"/>
      <c r="O23" s="13"/>
      <c r="P23" s="13"/>
      <c r="Q23" s="13"/>
      <c r="R23" s="13"/>
      <c r="S23" s="13"/>
      <c r="T23" s="13"/>
      <c r="U23" s="13"/>
    </row>
    <row r="24" ht="15" customHeight="1" spans="1:21">
      <c r="A24" s="13"/>
      <c r="B24" s="13"/>
      <c r="C24" s="13"/>
      <c r="D24" s="13"/>
      <c r="E24" s="13"/>
      <c r="F24" s="13"/>
      <c r="G24" s="13"/>
      <c r="H24" s="13"/>
      <c r="I24" s="13"/>
      <c r="J24" s="13"/>
      <c r="K24" s="13"/>
      <c r="L24" s="13"/>
      <c r="M24" s="13"/>
      <c r="N24" s="13"/>
      <c r="O24" s="13"/>
      <c r="P24" s="13"/>
      <c r="Q24" s="13"/>
      <c r="R24" s="13"/>
      <c r="S24" s="13"/>
      <c r="T24" s="13"/>
      <c r="U24" s="13"/>
    </row>
    <row r="25" ht="15" customHeight="1" spans="1:21">
      <c r="A25" s="13"/>
      <c r="B25" s="13"/>
      <c r="C25" s="13"/>
      <c r="D25" s="13"/>
      <c r="E25" s="13"/>
      <c r="F25" s="13"/>
      <c r="G25" s="13"/>
      <c r="H25" s="13"/>
      <c r="I25" s="13"/>
      <c r="J25" s="13"/>
      <c r="K25" s="13"/>
      <c r="L25" s="13"/>
      <c r="M25" s="13"/>
      <c r="N25" s="13"/>
      <c r="O25" s="13"/>
      <c r="P25" s="13"/>
      <c r="Q25" s="13"/>
      <c r="R25" s="13"/>
      <c r="S25" s="13"/>
      <c r="T25" s="13"/>
      <c r="U25" s="13"/>
    </row>
    <row r="26" ht="15" customHeight="1" spans="1:21">
      <c r="A26" s="13"/>
      <c r="B26" s="13"/>
      <c r="C26" s="13"/>
      <c r="D26" s="13"/>
      <c r="E26" s="13"/>
      <c r="F26" s="13"/>
      <c r="G26" s="13"/>
      <c r="H26" s="13"/>
      <c r="I26" s="13"/>
      <c r="J26" s="13"/>
      <c r="K26" s="13"/>
      <c r="L26" s="13"/>
      <c r="M26" s="13"/>
      <c r="N26" s="13"/>
      <c r="O26" s="13"/>
      <c r="P26" s="13"/>
      <c r="Q26" s="13"/>
      <c r="R26" s="13"/>
      <c r="S26" s="13"/>
      <c r="T26" s="13"/>
      <c r="U26" s="13"/>
    </row>
    <row r="27" ht="15" customHeight="1" spans="1:21">
      <c r="A27" s="13"/>
      <c r="B27" s="13"/>
      <c r="C27" s="13"/>
      <c r="D27" s="13"/>
      <c r="E27" s="13"/>
      <c r="F27" s="13"/>
      <c r="G27" s="13"/>
      <c r="H27" s="13"/>
      <c r="I27" s="13"/>
      <c r="J27" s="13"/>
      <c r="K27" s="13"/>
      <c r="L27" s="13"/>
      <c r="M27" s="13"/>
      <c r="N27" s="13"/>
      <c r="O27" s="13"/>
      <c r="P27" s="13"/>
      <c r="Q27" s="13"/>
      <c r="R27" s="13"/>
      <c r="S27" s="13"/>
      <c r="T27" s="13"/>
      <c r="U27" s="13"/>
    </row>
    <row r="28" ht="15" customHeight="1" spans="1:21">
      <c r="A28" s="13"/>
      <c r="B28" s="13"/>
      <c r="C28" s="13"/>
      <c r="D28" s="13"/>
      <c r="E28" s="13"/>
      <c r="F28" s="13"/>
      <c r="G28" s="13"/>
      <c r="H28" s="13"/>
      <c r="I28" s="13"/>
      <c r="J28" s="13"/>
      <c r="K28" s="13"/>
      <c r="L28" s="13"/>
      <c r="M28" s="13"/>
      <c r="N28" s="13"/>
      <c r="O28" s="13"/>
      <c r="P28" s="13"/>
      <c r="Q28" s="13"/>
      <c r="R28" s="13"/>
      <c r="S28" s="13"/>
      <c r="T28" s="13"/>
      <c r="U28" s="13"/>
    </row>
    <row r="29" ht="15" customHeight="1" spans="1:21">
      <c r="A29" s="13"/>
      <c r="B29" s="13"/>
      <c r="C29" s="13"/>
      <c r="D29" s="13"/>
      <c r="E29" s="13"/>
      <c r="F29" s="13"/>
      <c r="G29" s="13"/>
      <c r="H29" s="13"/>
      <c r="I29" s="13"/>
      <c r="J29" s="13"/>
      <c r="K29" s="13"/>
      <c r="L29" s="13"/>
      <c r="M29" s="13"/>
      <c r="N29" s="13"/>
      <c r="O29" s="13"/>
      <c r="P29" s="13"/>
      <c r="Q29" s="13"/>
      <c r="R29" s="13"/>
      <c r="S29" s="13"/>
      <c r="T29" s="13"/>
      <c r="U29" s="13"/>
    </row>
    <row r="30" ht="15" customHeight="1" spans="1:21">
      <c r="A30" s="13"/>
      <c r="B30" s="13"/>
      <c r="C30" s="13"/>
      <c r="D30" s="13"/>
      <c r="E30" s="13"/>
      <c r="F30" s="13"/>
      <c r="G30" s="13"/>
      <c r="H30" s="13"/>
      <c r="I30" s="13"/>
      <c r="J30" s="13"/>
      <c r="K30" s="13"/>
      <c r="L30" s="13"/>
      <c r="M30" s="13"/>
      <c r="N30" s="13"/>
      <c r="O30" s="13"/>
      <c r="P30" s="13"/>
      <c r="Q30" s="13"/>
      <c r="R30" s="13"/>
      <c r="S30" s="13"/>
      <c r="T30" s="13"/>
      <c r="U30" s="13"/>
    </row>
    <row r="31" ht="15" customHeight="1" spans="1:21">
      <c r="A31" s="13"/>
      <c r="B31" s="13"/>
      <c r="C31" s="13"/>
      <c r="D31" s="13"/>
      <c r="E31" s="13"/>
      <c r="F31" s="13"/>
      <c r="G31" s="13"/>
      <c r="H31" s="13"/>
      <c r="I31" s="13"/>
      <c r="J31" s="13"/>
      <c r="K31" s="13"/>
      <c r="L31" s="13"/>
      <c r="M31" s="13"/>
      <c r="N31" s="13"/>
      <c r="O31" s="13"/>
      <c r="P31" s="13"/>
      <c r="Q31" s="13"/>
      <c r="R31" s="13"/>
      <c r="S31" s="13"/>
      <c r="T31" s="13"/>
      <c r="U31" s="13"/>
    </row>
    <row r="32" ht="15" customHeight="1" spans="1:21">
      <c r="A32" s="13"/>
      <c r="B32" s="13"/>
      <c r="C32" s="13"/>
      <c r="D32" s="13"/>
      <c r="E32" s="13"/>
      <c r="F32" s="13"/>
      <c r="G32" s="13"/>
      <c r="H32" s="13"/>
      <c r="I32" s="13"/>
      <c r="J32" s="13"/>
      <c r="K32" s="13"/>
      <c r="L32" s="13"/>
      <c r="M32" s="13"/>
      <c r="N32" s="13"/>
      <c r="O32" s="13"/>
      <c r="P32" s="13"/>
      <c r="Q32" s="13"/>
      <c r="R32" s="13"/>
      <c r="S32" s="13"/>
      <c r="T32" s="13"/>
      <c r="U32" s="13"/>
    </row>
    <row r="33" ht="15" customHeight="1" spans="1:21">
      <c r="A33" s="13"/>
      <c r="B33" s="13"/>
      <c r="C33" s="13"/>
      <c r="D33" s="13"/>
      <c r="E33" s="13"/>
      <c r="F33" s="13"/>
      <c r="G33" s="13"/>
      <c r="H33" s="13"/>
      <c r="I33" s="13"/>
      <c r="J33" s="13"/>
      <c r="K33" s="13"/>
      <c r="L33" s="13"/>
      <c r="M33" s="13"/>
      <c r="N33" s="13"/>
      <c r="O33" s="13"/>
      <c r="P33" s="13"/>
      <c r="Q33" s="13"/>
      <c r="R33" s="13"/>
      <c r="S33" s="13"/>
      <c r="T33" s="13"/>
      <c r="U33" s="13"/>
    </row>
    <row r="34" ht="15" customHeight="1" spans="1:21">
      <c r="A34" s="13"/>
      <c r="B34" s="13"/>
      <c r="C34" s="13"/>
      <c r="D34" s="13"/>
      <c r="E34" s="13"/>
      <c r="F34" s="13"/>
      <c r="G34" s="13"/>
      <c r="H34" s="13"/>
      <c r="I34" s="13"/>
      <c r="J34" s="13"/>
      <c r="K34" s="13"/>
      <c r="L34" s="13"/>
      <c r="M34" s="13"/>
      <c r="N34" s="13"/>
      <c r="O34" s="13"/>
      <c r="P34" s="13"/>
      <c r="Q34" s="13"/>
      <c r="R34" s="13"/>
      <c r="S34" s="13"/>
      <c r="T34" s="13"/>
      <c r="U34" s="13"/>
    </row>
    <row r="35" ht="15" customHeight="1" spans="1:21">
      <c r="A35" s="13"/>
      <c r="B35" s="13"/>
      <c r="C35" s="13"/>
      <c r="D35" s="13"/>
      <c r="E35" s="13"/>
      <c r="F35" s="13"/>
      <c r="G35" s="13"/>
      <c r="H35" s="13"/>
      <c r="I35" s="13"/>
      <c r="J35" s="13"/>
      <c r="K35" s="13"/>
      <c r="L35" s="13"/>
      <c r="M35" s="13"/>
      <c r="N35" s="13"/>
      <c r="O35" s="13"/>
      <c r="P35" s="13"/>
      <c r="Q35" s="13"/>
      <c r="R35" s="13"/>
      <c r="S35" s="13"/>
      <c r="T35" s="13"/>
      <c r="U35" s="13"/>
    </row>
    <row r="36" ht="15" customHeight="1" spans="1:21">
      <c r="A36" s="13"/>
      <c r="B36" s="13"/>
      <c r="C36" s="13"/>
      <c r="D36" s="13"/>
      <c r="E36" s="13"/>
      <c r="F36" s="13"/>
      <c r="G36" s="13"/>
      <c r="H36" s="13"/>
      <c r="I36" s="13"/>
      <c r="J36" s="13"/>
      <c r="K36" s="13"/>
      <c r="L36" s="13"/>
      <c r="M36" s="13"/>
      <c r="N36" s="13"/>
      <c r="O36" s="13"/>
      <c r="P36" s="13"/>
      <c r="Q36" s="13"/>
      <c r="R36" s="13"/>
      <c r="S36" s="13"/>
      <c r="T36" s="13"/>
      <c r="U36" s="13"/>
    </row>
    <row r="37" ht="15" customHeight="1" spans="1:21">
      <c r="A37" s="13"/>
      <c r="B37" s="13"/>
      <c r="C37" s="13"/>
      <c r="D37" s="13"/>
      <c r="E37" s="13"/>
      <c r="F37" s="13"/>
      <c r="G37" s="13"/>
      <c r="H37" s="13"/>
      <c r="I37" s="13"/>
      <c r="J37" s="13"/>
      <c r="K37" s="13"/>
      <c r="L37" s="13"/>
      <c r="M37" s="13"/>
      <c r="N37" s="13"/>
      <c r="O37" s="13"/>
      <c r="P37" s="13"/>
      <c r="Q37" s="13"/>
      <c r="R37" s="13"/>
      <c r="S37" s="13"/>
      <c r="T37" s="13"/>
      <c r="U37" s="13"/>
    </row>
    <row r="38" ht="21.75" customHeight="1" spans="1:21">
      <c r="A38" s="13"/>
      <c r="B38" s="13"/>
      <c r="C38" s="13"/>
      <c r="D38" s="13"/>
      <c r="E38" s="13"/>
      <c r="F38" s="13"/>
      <c r="G38" s="13"/>
      <c r="H38" s="36" t="s">
        <v>502</v>
      </c>
      <c r="I38" s="36"/>
      <c r="J38" s="36"/>
      <c r="K38" s="36"/>
      <c r="L38" s="36"/>
      <c r="M38" s="36"/>
      <c r="N38" s="13"/>
      <c r="O38" s="13"/>
      <c r="P38" s="13"/>
      <c r="Q38" s="13"/>
      <c r="R38" s="13"/>
      <c r="S38" s="13"/>
      <c r="T38" s="13"/>
      <c r="U38" s="13"/>
    </row>
    <row r="39" ht="24" customHeight="1" spans="1:21">
      <c r="A39" s="13"/>
      <c r="B39" s="13"/>
      <c r="C39" s="13"/>
      <c r="D39" s="13"/>
      <c r="E39" s="13"/>
      <c r="F39" s="13"/>
      <c r="G39" s="13"/>
      <c r="H39" s="37" t="s">
        <v>439</v>
      </c>
      <c r="I39" s="37"/>
      <c r="J39" s="38" t="s">
        <v>503</v>
      </c>
      <c r="K39" s="38"/>
      <c r="L39" s="39" t="s">
        <v>504</v>
      </c>
      <c r="M39" s="39"/>
      <c r="N39" s="13"/>
      <c r="O39" s="13"/>
      <c r="P39" s="13"/>
      <c r="Q39" s="13"/>
      <c r="R39" s="13"/>
      <c r="S39" s="13"/>
      <c r="T39" s="13"/>
      <c r="U39" s="13"/>
    </row>
    <row r="40" ht="24" customHeight="1" spans="1:21">
      <c r="A40" s="13"/>
      <c r="B40" s="13"/>
      <c r="C40" s="13"/>
      <c r="D40" s="13"/>
      <c r="E40" s="13"/>
      <c r="F40" s="13"/>
      <c r="G40" s="13"/>
      <c r="H40" s="40" t="s">
        <v>438</v>
      </c>
      <c r="I40" s="40"/>
      <c r="J40" s="41" t="s">
        <v>505</v>
      </c>
      <c r="K40" s="41"/>
      <c r="L40" s="42" t="s">
        <v>506</v>
      </c>
      <c r="M40" s="42"/>
      <c r="N40" s="13"/>
      <c r="O40" s="13"/>
      <c r="P40" s="13"/>
      <c r="Q40" s="13"/>
      <c r="R40" s="13"/>
      <c r="S40" s="13"/>
      <c r="T40" s="13"/>
      <c r="U40" s="13"/>
    </row>
    <row r="41" ht="24" customHeight="1" spans="1:21">
      <c r="A41" s="13"/>
      <c r="B41" s="13"/>
      <c r="C41" s="13"/>
      <c r="D41" s="13"/>
      <c r="E41" s="13"/>
      <c r="F41" s="13"/>
      <c r="G41" s="13"/>
      <c r="H41" s="43" t="s">
        <v>437</v>
      </c>
      <c r="I41" s="43"/>
      <c r="J41" s="44" t="s">
        <v>507</v>
      </c>
      <c r="K41" s="44"/>
      <c r="L41" s="45" t="s">
        <v>508</v>
      </c>
      <c r="M41" s="45"/>
      <c r="N41" s="13"/>
      <c r="O41" s="13"/>
      <c r="P41" s="13"/>
      <c r="Q41" s="13"/>
      <c r="R41" s="13"/>
      <c r="S41" s="13"/>
      <c r="T41" s="13"/>
      <c r="U41" s="13"/>
    </row>
    <row r="42" ht="15" customHeight="1" spans="1:21">
      <c r="A42" s="13"/>
      <c r="B42" s="13"/>
      <c r="C42" s="13"/>
      <c r="D42" s="13"/>
      <c r="E42" s="13"/>
      <c r="F42" s="13"/>
      <c r="G42" s="13"/>
      <c r="H42" s="13"/>
      <c r="I42" s="13"/>
      <c r="J42" s="13"/>
      <c r="K42" s="13"/>
      <c r="L42" s="13"/>
      <c r="M42" s="13"/>
      <c r="N42" s="13"/>
      <c r="O42" s="13"/>
      <c r="P42" s="13"/>
      <c r="Q42" s="13"/>
      <c r="R42" s="13"/>
      <c r="S42" s="13"/>
      <c r="T42" s="13"/>
      <c r="U42" s="13"/>
    </row>
    <row r="43" ht="15" customHeight="1" spans="1:21">
      <c r="A43" s="13"/>
      <c r="B43" s="13"/>
      <c r="C43" s="13"/>
      <c r="D43" s="13"/>
      <c r="E43" s="13"/>
      <c r="F43" s="13"/>
      <c r="G43" s="13"/>
      <c r="H43" s="46" t="s">
        <v>509</v>
      </c>
      <c r="I43" s="46"/>
      <c r="J43" s="46"/>
      <c r="K43" s="46"/>
      <c r="L43" s="46"/>
      <c r="M43" s="46"/>
      <c r="N43" s="13"/>
      <c r="O43" s="13"/>
      <c r="P43" s="13"/>
      <c r="Q43" s="13"/>
      <c r="R43" s="13"/>
      <c r="S43" s="13"/>
      <c r="T43" s="13"/>
      <c r="U43" s="13"/>
    </row>
    <row r="44" ht="15" customHeight="1" spans="1:21">
      <c r="A44" s="13"/>
      <c r="B44" s="13"/>
      <c r="C44" s="13"/>
      <c r="D44" s="13"/>
      <c r="E44" s="13"/>
      <c r="F44" s="13"/>
      <c r="G44" s="13"/>
      <c r="H44" s="13"/>
      <c r="I44" s="13"/>
      <c r="J44" s="13"/>
      <c r="K44" s="13"/>
      <c r="L44" s="13"/>
      <c r="M44" s="13"/>
      <c r="N44" s="13"/>
      <c r="O44" s="13"/>
      <c r="P44" s="13"/>
      <c r="Q44" s="13"/>
      <c r="R44" s="13"/>
      <c r="S44" s="13"/>
      <c r="T44" s="13"/>
      <c r="U44" s="13"/>
    </row>
    <row r="45" ht="15" customHeight="1" spans="1:21">
      <c r="A45" s="13"/>
      <c r="B45" s="13"/>
      <c r="C45" s="13"/>
      <c r="D45" s="13"/>
      <c r="E45" s="13"/>
      <c r="F45" s="13"/>
      <c r="G45" s="13"/>
      <c r="H45" s="13"/>
      <c r="I45" s="13"/>
      <c r="J45" s="13"/>
      <c r="K45" s="13"/>
      <c r="L45" s="13"/>
      <c r="M45" s="13"/>
      <c r="N45" s="13"/>
      <c r="O45" s="13"/>
      <c r="P45" s="13"/>
      <c r="Q45" s="13"/>
      <c r="R45" s="13"/>
      <c r="S45" s="13"/>
      <c r="T45" s="13"/>
      <c r="U45" s="13"/>
    </row>
    <row r="46" ht="15" customHeight="1" spans="1:21">
      <c r="A46" s="13"/>
      <c r="B46" s="13"/>
      <c r="C46" s="13"/>
      <c r="D46" s="13"/>
      <c r="E46" s="13"/>
      <c r="F46" s="13"/>
      <c r="G46" s="13"/>
      <c r="H46" s="13"/>
      <c r="I46" s="13"/>
      <c r="J46" s="13"/>
      <c r="K46" s="13"/>
      <c r="L46" s="13"/>
      <c r="M46" s="13"/>
      <c r="N46" s="13"/>
      <c r="O46" s="13"/>
      <c r="P46" s="13"/>
      <c r="Q46" s="13"/>
      <c r="R46" s="13"/>
      <c r="S46" s="13"/>
      <c r="T46" s="13"/>
      <c r="U46" s="13"/>
    </row>
    <row r="47" ht="15" customHeight="1" spans="1:21">
      <c r="A47" s="13"/>
      <c r="B47" s="13"/>
      <c r="C47" s="13"/>
      <c r="D47" s="13"/>
      <c r="E47" s="13"/>
      <c r="F47" s="13"/>
      <c r="G47" s="13"/>
      <c r="H47" s="13"/>
      <c r="I47" s="13"/>
      <c r="J47" s="13"/>
      <c r="K47" s="13"/>
      <c r="L47" s="13"/>
      <c r="M47" s="13"/>
      <c r="N47" s="13"/>
      <c r="O47" s="13"/>
      <c r="P47" s="13"/>
      <c r="Q47" s="13"/>
      <c r="R47" s="13"/>
      <c r="S47" s="13"/>
      <c r="T47" s="13"/>
      <c r="U47" s="13"/>
    </row>
    <row r="48" ht="15" customHeight="1" spans="1:21">
      <c r="A48" s="13"/>
      <c r="B48" s="13"/>
      <c r="C48" s="13"/>
      <c r="D48" s="13"/>
      <c r="E48" s="13"/>
      <c r="F48" s="13"/>
      <c r="G48" s="13"/>
      <c r="H48" s="13"/>
      <c r="I48" s="13"/>
      <c r="J48" s="13"/>
      <c r="K48" s="13"/>
      <c r="L48" s="13"/>
      <c r="M48" s="13"/>
      <c r="N48" s="13"/>
      <c r="O48" s="13"/>
      <c r="P48" s="13"/>
      <c r="Q48" s="13"/>
      <c r="R48" s="13"/>
      <c r="S48" s="13"/>
      <c r="T48" s="13"/>
      <c r="U48" s="13"/>
    </row>
    <row r="49" ht="15" customHeight="1" spans="1:21">
      <c r="A49" s="13"/>
      <c r="B49" s="13"/>
      <c r="C49" s="13"/>
      <c r="D49" s="13"/>
      <c r="E49" s="13"/>
      <c r="F49" s="13"/>
      <c r="G49" s="13"/>
      <c r="H49" s="13"/>
      <c r="I49" s="13"/>
      <c r="J49" s="13"/>
      <c r="K49" s="13"/>
      <c r="L49" s="13"/>
      <c r="M49" s="13"/>
      <c r="N49" s="13"/>
      <c r="O49" s="13"/>
      <c r="P49" s="13"/>
      <c r="Q49" s="13"/>
      <c r="R49" s="13"/>
      <c r="S49" s="13"/>
      <c r="T49" s="13"/>
      <c r="U49" s="13"/>
    </row>
    <row r="50" ht="15" customHeight="1" spans="1:21">
      <c r="A50" s="13"/>
      <c r="B50" s="13"/>
      <c r="C50" s="13"/>
      <c r="D50" s="13"/>
      <c r="E50" s="13"/>
      <c r="F50" s="13"/>
      <c r="G50" s="13"/>
      <c r="H50" s="13"/>
      <c r="I50" s="13"/>
      <c r="J50" s="13"/>
      <c r="K50" s="13"/>
      <c r="L50" s="13"/>
      <c r="M50" s="13"/>
      <c r="N50" s="13"/>
      <c r="O50" s="13"/>
      <c r="P50" s="13"/>
      <c r="Q50" s="13"/>
      <c r="R50" s="13"/>
      <c r="S50" s="13"/>
      <c r="T50" s="13"/>
      <c r="U50" s="13"/>
    </row>
    <row r="51" ht="15" customHeight="1" spans="1:21">
      <c r="A51" s="13"/>
      <c r="B51" s="13"/>
      <c r="C51" s="13"/>
      <c r="D51" s="13"/>
      <c r="E51" s="13"/>
      <c r="F51" s="13"/>
      <c r="G51" s="13"/>
      <c r="H51" s="13"/>
      <c r="I51" s="13"/>
      <c r="J51" s="13"/>
      <c r="K51" s="13"/>
      <c r="L51" s="13"/>
      <c r="M51" s="13"/>
      <c r="N51" s="13"/>
      <c r="O51" s="13"/>
      <c r="P51" s="13"/>
      <c r="Q51" s="13"/>
      <c r="R51" s="13"/>
      <c r="S51" s="13"/>
      <c r="T51" s="13"/>
      <c r="U51" s="13"/>
    </row>
    <row r="52" ht="15" customHeight="1" spans="1:21">
      <c r="A52" s="13"/>
      <c r="B52" s="13"/>
      <c r="C52" s="13"/>
      <c r="D52" s="13"/>
      <c r="E52" s="13"/>
      <c r="F52" s="13"/>
      <c r="G52" s="13"/>
      <c r="H52" s="13"/>
      <c r="I52" s="13"/>
      <c r="J52" s="13"/>
      <c r="K52" s="13"/>
      <c r="L52" s="13"/>
      <c r="M52" s="13"/>
      <c r="N52" s="13"/>
      <c r="O52" s="13"/>
      <c r="P52" s="13"/>
      <c r="Q52" s="13"/>
      <c r="R52" s="13"/>
      <c r="S52" s="13"/>
      <c r="T52" s="13"/>
      <c r="U52" s="13"/>
    </row>
    <row r="53" ht="15" customHeight="1" spans="1:21">
      <c r="A53" s="13"/>
      <c r="B53" s="13"/>
      <c r="C53" s="13"/>
      <c r="D53" s="13"/>
      <c r="E53" s="13"/>
      <c r="F53" s="13"/>
      <c r="G53" s="13"/>
      <c r="H53" s="13"/>
      <c r="I53" s="13"/>
      <c r="J53" s="13"/>
      <c r="K53" s="13"/>
      <c r="L53" s="13"/>
      <c r="M53" s="13"/>
      <c r="N53" s="13"/>
      <c r="O53" s="13"/>
      <c r="P53" s="13"/>
      <c r="Q53" s="13"/>
      <c r="R53" s="13"/>
      <c r="S53" s="13"/>
      <c r="T53" s="13"/>
      <c r="U53" s="13"/>
    </row>
    <row r="54" ht="15" customHeight="1" spans="1:21">
      <c r="A54" s="13"/>
      <c r="B54" s="13"/>
      <c r="C54" s="13"/>
      <c r="D54" s="13"/>
      <c r="E54" s="13"/>
      <c r="F54" s="13"/>
      <c r="G54" s="13"/>
      <c r="H54" s="13"/>
      <c r="I54" s="13"/>
      <c r="J54" s="13"/>
      <c r="K54" s="13"/>
      <c r="L54" s="13"/>
      <c r="M54" s="13"/>
      <c r="N54" s="13"/>
      <c r="O54" s="13"/>
      <c r="P54" s="13"/>
      <c r="Q54" s="13"/>
      <c r="R54" s="13"/>
      <c r="S54" s="13"/>
      <c r="T54" s="13"/>
      <c r="U54" s="13"/>
    </row>
    <row r="55" ht="15" customHeight="1" spans="1:21">
      <c r="A55" s="13"/>
      <c r="B55" s="13"/>
      <c r="C55" s="13"/>
      <c r="D55" s="13"/>
      <c r="E55" s="13"/>
      <c r="F55" s="13"/>
      <c r="G55" s="13"/>
      <c r="H55" s="13"/>
      <c r="I55" s="13"/>
      <c r="J55" s="13"/>
      <c r="K55" s="13"/>
      <c r="L55" s="13"/>
      <c r="M55" s="13"/>
      <c r="N55" s="13"/>
      <c r="O55" s="13"/>
      <c r="P55" s="13"/>
      <c r="Q55" s="13"/>
      <c r="R55" s="13"/>
      <c r="S55" s="13"/>
      <c r="T55" s="13"/>
      <c r="U55" s="13"/>
    </row>
    <row r="56" ht="15" customHeight="1" spans="1:21">
      <c r="A56" s="13"/>
      <c r="B56" s="13"/>
      <c r="C56" s="13"/>
      <c r="D56" s="13"/>
      <c r="E56" s="13"/>
      <c r="F56" s="13"/>
      <c r="G56" s="13"/>
      <c r="H56" s="13"/>
      <c r="I56" s="13"/>
      <c r="J56" s="13"/>
      <c r="K56" s="13"/>
      <c r="L56" s="13"/>
      <c r="M56" s="13"/>
      <c r="N56" s="13"/>
      <c r="O56" s="13"/>
      <c r="P56" s="13"/>
      <c r="Q56" s="13"/>
      <c r="R56" s="13"/>
      <c r="S56" s="13"/>
      <c r="T56" s="13"/>
      <c r="U56" s="13"/>
    </row>
    <row r="57" ht="15" customHeight="1" spans="1:21">
      <c r="A57" s="13"/>
      <c r="B57" s="13"/>
      <c r="C57" s="13"/>
      <c r="D57" s="13"/>
      <c r="E57" s="13"/>
      <c r="F57" s="13"/>
      <c r="G57" s="13"/>
      <c r="H57" s="13"/>
      <c r="I57" s="13"/>
      <c r="J57" s="13"/>
      <c r="K57" s="13"/>
      <c r="L57" s="13"/>
      <c r="M57" s="13"/>
      <c r="N57" s="13"/>
      <c r="O57" s="13"/>
      <c r="P57" s="13"/>
      <c r="Q57" s="13"/>
      <c r="R57" s="13"/>
      <c r="S57" s="13"/>
      <c r="T57" s="13"/>
      <c r="U57" s="13"/>
    </row>
    <row r="58" ht="15" customHeight="1" spans="1:21">
      <c r="A58" s="13"/>
      <c r="B58" s="13"/>
      <c r="C58" s="13"/>
      <c r="D58" s="13"/>
      <c r="E58" s="13"/>
      <c r="F58" s="13"/>
      <c r="G58" s="13"/>
      <c r="H58" s="13"/>
      <c r="I58" s="13"/>
      <c r="J58" s="13"/>
      <c r="K58" s="13"/>
      <c r="L58" s="13"/>
      <c r="M58" s="13"/>
      <c r="N58" s="13"/>
      <c r="O58" s="13"/>
      <c r="P58" s="13"/>
      <c r="Q58" s="13"/>
      <c r="R58" s="13"/>
      <c r="S58" s="13"/>
      <c r="T58" s="13"/>
      <c r="U58" s="13"/>
    </row>
    <row r="59" ht="15" customHeight="1" spans="1:21">
      <c r="A59" s="13"/>
      <c r="B59" s="13"/>
      <c r="C59" s="13"/>
      <c r="D59" s="13"/>
      <c r="E59" s="13"/>
      <c r="F59" s="13"/>
      <c r="G59" s="13"/>
      <c r="H59" s="13"/>
      <c r="I59" s="13"/>
      <c r="J59" s="13"/>
      <c r="K59" s="13"/>
      <c r="L59" s="13"/>
      <c r="M59" s="13"/>
      <c r="N59" s="13"/>
      <c r="O59" s="13"/>
      <c r="P59" s="13"/>
      <c r="Q59" s="13"/>
      <c r="R59" s="13"/>
      <c r="S59" s="13"/>
      <c r="T59" s="13"/>
      <c r="U59" s="13"/>
    </row>
  </sheetData>
  <mergeCells count="28">
    <mergeCell ref="B1:M1"/>
    <mergeCell ref="B2:M2"/>
    <mergeCell ref="C4:D4"/>
    <mergeCell ref="E4:F4"/>
    <mergeCell ref="G4:H4"/>
    <mergeCell ref="I4:J4"/>
    <mergeCell ref="K4:L4"/>
    <mergeCell ref="C7:D7"/>
    <mergeCell ref="E7:F7"/>
    <mergeCell ref="G7:H7"/>
    <mergeCell ref="I7:J7"/>
    <mergeCell ref="K7:L7"/>
    <mergeCell ref="H38:M38"/>
    <mergeCell ref="H39:I39"/>
    <mergeCell ref="J39:K39"/>
    <mergeCell ref="L39:M39"/>
    <mergeCell ref="H40:I40"/>
    <mergeCell ref="J40:K40"/>
    <mergeCell ref="L40:M40"/>
    <mergeCell ref="H41:I41"/>
    <mergeCell ref="J41:K41"/>
    <mergeCell ref="L41:M41"/>
    <mergeCell ref="H43:M43"/>
    <mergeCell ref="C5:D6"/>
    <mergeCell ref="E5:F6"/>
    <mergeCell ref="G5:H6"/>
    <mergeCell ref="I5:J6"/>
    <mergeCell ref="K5:L6"/>
  </mergeCells>
  <pageMargins left="0.75" right="0.75" top="1" bottom="1" header="0.511811023622047" footer="0.511811023622047"/>
  <pageSetup paperSize="9" orientation="portrait" horizontalDpi="300" verticalDpi="3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O79"/>
  <sheetViews>
    <sheetView showGridLines="0" zoomScale="85" zoomScaleNormal="85" workbookViewId="0">
      <selection activeCell="J34" sqref="J34"/>
    </sheetView>
  </sheetViews>
  <sheetFormatPr defaultColWidth="8.67592592592593" defaultRowHeight="14.4"/>
  <cols>
    <col min="1" max="1" width="2" style="1" customWidth="1"/>
    <col min="2" max="2" width="1" style="1" customWidth="1"/>
    <col min="3" max="3" width="26" style="1" customWidth="1"/>
    <col min="4" max="4" width="80" style="1" customWidth="1"/>
    <col min="5" max="5" width="2" style="1" customWidth="1"/>
  </cols>
  <sheetData>
    <row r="1" ht="31.5" customHeight="1" spans="1:15">
      <c r="A1" s="2"/>
      <c r="B1" s="2"/>
      <c r="C1" s="3" t="s">
        <v>510</v>
      </c>
      <c r="D1" s="3"/>
      <c r="E1" s="2"/>
      <c r="F1" s="2"/>
      <c r="G1" s="2"/>
      <c r="H1" s="2"/>
      <c r="I1" s="2"/>
      <c r="J1" s="2"/>
      <c r="K1" s="2"/>
      <c r="L1" s="2"/>
      <c r="M1" s="2"/>
      <c r="N1" s="2"/>
      <c r="O1" s="2"/>
    </row>
    <row r="2" ht="15.75" customHeight="1" spans="1:15">
      <c r="A2" s="2"/>
      <c r="B2" s="2"/>
      <c r="C2" s="4" t="s">
        <v>511</v>
      </c>
      <c r="D2" s="4"/>
      <c r="E2" s="2"/>
      <c r="F2" s="2"/>
      <c r="G2" s="2"/>
      <c r="H2" s="2"/>
      <c r="I2" s="2"/>
      <c r="J2" s="2"/>
      <c r="K2" s="2"/>
      <c r="L2" s="2"/>
      <c r="M2" s="2"/>
      <c r="N2" s="2"/>
      <c r="O2" s="2"/>
    </row>
    <row r="3" ht="15" customHeight="1" spans="1:15">
      <c r="A3" s="2"/>
      <c r="B3" s="2"/>
      <c r="C3" s="2"/>
      <c r="D3" s="2"/>
      <c r="E3" s="2"/>
      <c r="F3" s="2"/>
      <c r="G3" s="2"/>
      <c r="H3" s="2"/>
      <c r="I3" s="2"/>
      <c r="J3" s="2"/>
      <c r="K3" s="2"/>
      <c r="L3" s="2"/>
      <c r="M3" s="2"/>
      <c r="N3" s="2"/>
      <c r="O3" s="2"/>
    </row>
    <row r="4" ht="24" customHeight="1" spans="1:15">
      <c r="A4" s="2"/>
      <c r="B4" s="2"/>
      <c r="C4" s="5" t="s">
        <v>512</v>
      </c>
      <c r="D4" s="5" t="s">
        <v>513</v>
      </c>
      <c r="E4" s="2"/>
      <c r="F4" s="2"/>
      <c r="G4" s="2"/>
      <c r="H4" s="2"/>
      <c r="I4" s="2"/>
      <c r="J4" s="2"/>
      <c r="K4" s="2"/>
      <c r="L4" s="2"/>
      <c r="M4" s="2"/>
      <c r="N4" s="2"/>
      <c r="O4" s="2"/>
    </row>
    <row r="5" ht="132.75" customHeight="1" spans="1:15">
      <c r="A5" s="2"/>
      <c r="B5" s="2"/>
      <c r="C5" s="6" t="s">
        <v>514</v>
      </c>
      <c r="D5" s="7" t="s">
        <v>515</v>
      </c>
      <c r="E5" s="2"/>
      <c r="F5" s="2"/>
      <c r="G5" s="2"/>
      <c r="H5" s="2"/>
      <c r="I5" s="2"/>
      <c r="J5" s="2"/>
      <c r="K5" s="2"/>
      <c r="L5" s="2"/>
      <c r="M5" s="2"/>
      <c r="N5" s="2"/>
      <c r="O5" s="2"/>
    </row>
    <row r="6" ht="115.5" customHeight="1" spans="1:15">
      <c r="A6" s="2"/>
      <c r="B6" s="2"/>
      <c r="C6" s="6" t="s">
        <v>516</v>
      </c>
      <c r="D6" s="7" t="s">
        <v>517</v>
      </c>
      <c r="E6" s="2"/>
      <c r="F6" s="2"/>
      <c r="G6" s="2"/>
      <c r="H6" s="2"/>
      <c r="I6" s="2"/>
      <c r="J6" s="2"/>
      <c r="K6" s="2"/>
      <c r="L6" s="2"/>
      <c r="M6" s="2"/>
      <c r="N6" s="2"/>
      <c r="O6" s="2"/>
    </row>
    <row r="7" ht="105.75" customHeight="1" spans="1:15">
      <c r="A7" s="2"/>
      <c r="B7" s="2"/>
      <c r="C7" s="6" t="s">
        <v>518</v>
      </c>
      <c r="D7" s="7" t="s">
        <v>519</v>
      </c>
      <c r="E7" s="2"/>
      <c r="F7" s="2"/>
      <c r="G7" s="2"/>
      <c r="H7" s="2"/>
      <c r="I7" s="2"/>
      <c r="J7" s="2"/>
      <c r="K7" s="2"/>
      <c r="L7" s="2"/>
      <c r="M7" s="2"/>
      <c r="N7" s="2"/>
      <c r="O7" s="2"/>
    </row>
    <row r="8" ht="111" customHeight="1" spans="1:15">
      <c r="A8" s="2"/>
      <c r="B8" s="2"/>
      <c r="C8" s="6" t="s">
        <v>520</v>
      </c>
      <c r="D8" s="7" t="s">
        <v>521</v>
      </c>
      <c r="E8" s="2"/>
      <c r="F8" s="2"/>
      <c r="G8" s="2"/>
      <c r="H8" s="2"/>
      <c r="I8" s="2"/>
      <c r="J8" s="2"/>
      <c r="K8" s="2"/>
      <c r="L8" s="2"/>
      <c r="M8" s="2"/>
      <c r="N8" s="2"/>
      <c r="O8" s="2"/>
    </row>
    <row r="9" ht="15" customHeight="1" spans="1:15">
      <c r="A9" s="2"/>
      <c r="B9" s="2"/>
      <c r="C9" s="2"/>
      <c r="D9" s="2"/>
      <c r="E9" s="2"/>
      <c r="F9" s="2"/>
      <c r="G9" s="2"/>
      <c r="H9" s="2"/>
      <c r="I9" s="2"/>
      <c r="J9" s="2"/>
      <c r="K9" s="2"/>
      <c r="L9" s="2"/>
      <c r="M9" s="2"/>
      <c r="N9" s="2"/>
      <c r="O9" s="2"/>
    </row>
    <row r="10" ht="24" customHeight="1" spans="1:15">
      <c r="A10" s="2"/>
      <c r="B10" s="2"/>
      <c r="C10" s="8" t="s">
        <v>522</v>
      </c>
      <c r="D10" s="8"/>
      <c r="E10" s="2"/>
      <c r="F10" s="2"/>
      <c r="G10" s="2"/>
      <c r="H10" s="2"/>
      <c r="I10" s="2"/>
      <c r="J10" s="2"/>
      <c r="K10" s="2"/>
      <c r="L10" s="2"/>
      <c r="M10" s="2"/>
      <c r="N10" s="2"/>
      <c r="O10" s="2"/>
    </row>
    <row r="11" ht="108" customHeight="1" spans="1:15">
      <c r="A11" s="2"/>
      <c r="B11" s="2"/>
      <c r="C11" s="6" t="s">
        <v>523</v>
      </c>
      <c r="D11" s="7" t="s">
        <v>524</v>
      </c>
      <c r="E11" s="2"/>
      <c r="F11" s="2"/>
      <c r="G11" s="2"/>
      <c r="H11" s="2"/>
      <c r="I11" s="2"/>
      <c r="J11" s="2"/>
      <c r="K11" s="2"/>
      <c r="L11" s="2"/>
      <c r="M11" s="2"/>
      <c r="N11" s="2"/>
      <c r="O11" s="2"/>
    </row>
    <row r="12" ht="99.75" customHeight="1" spans="1:15">
      <c r="A12" s="2"/>
      <c r="B12" s="2"/>
      <c r="C12" s="6" t="s">
        <v>525</v>
      </c>
      <c r="D12" s="7" t="s">
        <v>526</v>
      </c>
      <c r="E12" s="2"/>
      <c r="F12" s="2"/>
      <c r="G12" s="2"/>
      <c r="H12" s="2"/>
      <c r="I12" s="2"/>
      <c r="J12" s="2"/>
      <c r="K12" s="2"/>
      <c r="L12" s="2"/>
      <c r="M12" s="2"/>
      <c r="N12" s="2"/>
      <c r="O12" s="2"/>
    </row>
    <row r="13" ht="72" customHeight="1" spans="1:15">
      <c r="A13" s="2"/>
      <c r="B13" s="2"/>
      <c r="C13" s="6" t="s">
        <v>527</v>
      </c>
      <c r="D13" s="7" t="s">
        <v>528</v>
      </c>
      <c r="E13" s="2"/>
      <c r="F13" s="2"/>
      <c r="G13" s="2"/>
      <c r="H13" s="2"/>
      <c r="I13" s="2"/>
      <c r="J13" s="2"/>
      <c r="K13" s="2"/>
      <c r="L13" s="2"/>
      <c r="M13" s="2"/>
      <c r="N13" s="2"/>
      <c r="O13" s="2"/>
    </row>
    <row r="14" ht="15" customHeight="1" spans="1:15">
      <c r="A14" s="2"/>
      <c r="B14" s="2"/>
      <c r="C14" s="2"/>
      <c r="D14" s="2"/>
      <c r="E14" s="2"/>
      <c r="F14" s="2"/>
      <c r="G14" s="2"/>
      <c r="H14" s="2"/>
      <c r="I14" s="2"/>
      <c r="J14" s="2"/>
      <c r="K14" s="2"/>
      <c r="L14" s="2"/>
      <c r="M14" s="2"/>
      <c r="N14" s="2"/>
      <c r="O14" s="2"/>
    </row>
    <row r="15" ht="24" customHeight="1" spans="1:15">
      <c r="A15" s="2"/>
      <c r="B15" s="2"/>
      <c r="C15" s="9" t="s">
        <v>529</v>
      </c>
      <c r="D15" s="9"/>
      <c r="E15" s="2"/>
      <c r="F15" s="2"/>
      <c r="G15" s="2"/>
      <c r="H15" s="2"/>
      <c r="I15" s="2"/>
      <c r="J15" s="2"/>
      <c r="K15" s="2"/>
      <c r="L15" s="2"/>
      <c r="M15" s="2"/>
      <c r="N15" s="2"/>
      <c r="O15" s="2"/>
    </row>
    <row r="16" ht="156" customHeight="1" spans="1:15">
      <c r="A16" s="2"/>
      <c r="B16" s="2"/>
      <c r="C16" s="6" t="s">
        <v>530</v>
      </c>
      <c r="D16" s="7" t="s">
        <v>531</v>
      </c>
      <c r="E16" s="2"/>
      <c r="F16" s="2"/>
      <c r="G16" s="2"/>
      <c r="H16" s="2"/>
      <c r="I16" s="2"/>
      <c r="J16" s="2"/>
      <c r="K16" s="2"/>
      <c r="L16" s="2"/>
      <c r="M16" s="2"/>
      <c r="N16" s="2"/>
      <c r="O16" s="2"/>
    </row>
    <row r="17" ht="138.75" customHeight="1" spans="1:15">
      <c r="A17" s="2"/>
      <c r="B17" s="2"/>
      <c r="C17" s="6" t="s">
        <v>532</v>
      </c>
      <c r="D17" s="7" t="s">
        <v>533</v>
      </c>
      <c r="E17" s="2"/>
      <c r="F17" s="2"/>
      <c r="G17" s="2"/>
      <c r="H17" s="2"/>
      <c r="I17" s="2"/>
      <c r="J17" s="2"/>
      <c r="K17" s="2"/>
      <c r="L17" s="2"/>
      <c r="M17" s="2"/>
      <c r="N17" s="2"/>
      <c r="O17" s="2"/>
    </row>
    <row r="18" ht="15" customHeight="1" spans="1:15">
      <c r="A18" s="2"/>
      <c r="B18" s="2"/>
      <c r="C18" s="2"/>
      <c r="D18" s="2"/>
      <c r="E18" s="2"/>
      <c r="F18" s="2"/>
      <c r="G18" s="2"/>
      <c r="H18" s="2"/>
      <c r="I18" s="2"/>
      <c r="J18" s="2"/>
      <c r="K18" s="2"/>
      <c r="L18" s="2"/>
      <c r="M18" s="2"/>
      <c r="N18" s="2"/>
      <c r="O18" s="2"/>
    </row>
    <row r="19" ht="24" customHeight="1" spans="1:15">
      <c r="A19" s="2"/>
      <c r="B19" s="2"/>
      <c r="C19" s="10" t="s">
        <v>534</v>
      </c>
      <c r="D19" s="10"/>
      <c r="E19" s="2"/>
      <c r="F19" s="2"/>
      <c r="G19" s="2"/>
      <c r="H19" s="2"/>
      <c r="I19" s="2"/>
      <c r="J19" s="2"/>
      <c r="K19" s="2"/>
      <c r="L19" s="2"/>
      <c r="M19" s="2"/>
      <c r="N19" s="2"/>
      <c r="O19" s="2"/>
    </row>
    <row r="20" ht="102" customHeight="1" spans="1:15">
      <c r="A20" s="2"/>
      <c r="B20" s="2"/>
      <c r="C20" s="6" t="s">
        <v>535</v>
      </c>
      <c r="D20" s="7" t="s">
        <v>536</v>
      </c>
      <c r="E20" s="2"/>
      <c r="F20" s="2"/>
      <c r="G20" s="2"/>
      <c r="H20" s="2"/>
      <c r="I20" s="2"/>
      <c r="J20" s="2"/>
      <c r="K20" s="2"/>
      <c r="L20" s="2"/>
      <c r="M20" s="2"/>
      <c r="N20" s="2"/>
      <c r="O20" s="2"/>
    </row>
    <row r="21" ht="88.5" customHeight="1" spans="1:15">
      <c r="A21" s="2"/>
      <c r="B21" s="2"/>
      <c r="C21" s="6" t="s">
        <v>537</v>
      </c>
      <c r="D21" s="7" t="s">
        <v>538</v>
      </c>
      <c r="E21" s="2"/>
      <c r="F21" s="2"/>
      <c r="G21" s="2"/>
      <c r="H21" s="2"/>
      <c r="I21" s="2"/>
      <c r="J21" s="2"/>
      <c r="K21" s="2"/>
      <c r="L21" s="2"/>
      <c r="M21" s="2"/>
      <c r="N21" s="2"/>
      <c r="O21" s="2"/>
    </row>
    <row r="22" ht="96.75" customHeight="1" spans="1:15">
      <c r="A22" s="2"/>
      <c r="B22" s="2"/>
      <c r="C22" s="6" t="s">
        <v>539</v>
      </c>
      <c r="D22" s="7" t="s">
        <v>540</v>
      </c>
      <c r="E22" s="2"/>
      <c r="F22" s="2"/>
      <c r="G22" s="2"/>
      <c r="H22" s="2"/>
      <c r="I22" s="2"/>
      <c r="J22" s="2"/>
      <c r="K22" s="2"/>
      <c r="L22" s="2"/>
      <c r="M22" s="2"/>
      <c r="N22" s="2"/>
      <c r="O22" s="2"/>
    </row>
    <row r="23" ht="78" customHeight="1" spans="1:15">
      <c r="A23" s="2"/>
      <c r="B23" s="2"/>
      <c r="C23" s="6" t="s">
        <v>541</v>
      </c>
      <c r="D23" s="7" t="s">
        <v>542</v>
      </c>
      <c r="E23" s="2"/>
      <c r="F23" s="2"/>
      <c r="G23" s="2"/>
      <c r="H23" s="2"/>
      <c r="I23" s="2"/>
      <c r="J23" s="2"/>
      <c r="K23" s="2"/>
      <c r="L23" s="2"/>
      <c r="M23" s="2"/>
      <c r="N23" s="2"/>
      <c r="O23" s="2"/>
    </row>
    <row r="24" ht="15" customHeight="1" spans="1:15">
      <c r="A24" s="2"/>
      <c r="B24" s="2"/>
      <c r="C24" s="2"/>
      <c r="D24" s="2"/>
      <c r="E24" s="2"/>
      <c r="F24" s="2"/>
      <c r="G24" s="2"/>
      <c r="H24" s="2"/>
      <c r="I24" s="2"/>
      <c r="J24" s="2"/>
      <c r="K24" s="2"/>
      <c r="L24" s="2"/>
      <c r="M24" s="2"/>
      <c r="N24" s="2"/>
      <c r="O24" s="2"/>
    </row>
    <row r="25" ht="24" customHeight="1" spans="1:15">
      <c r="A25" s="2"/>
      <c r="B25" s="2"/>
      <c r="C25" s="11" t="s">
        <v>543</v>
      </c>
      <c r="D25" s="11"/>
      <c r="E25" s="2"/>
      <c r="F25" s="2"/>
      <c r="G25" s="2"/>
      <c r="H25" s="2"/>
      <c r="I25" s="2"/>
      <c r="J25" s="2"/>
      <c r="K25" s="2"/>
      <c r="L25" s="2"/>
      <c r="M25" s="2"/>
      <c r="N25" s="2"/>
      <c r="O25" s="2"/>
    </row>
    <row r="26" ht="138.75" customHeight="1" spans="1:15">
      <c r="A26" s="2"/>
      <c r="B26" s="2"/>
      <c r="C26" s="6" t="s">
        <v>544</v>
      </c>
      <c r="D26" s="7" t="s">
        <v>545</v>
      </c>
      <c r="E26" s="2"/>
      <c r="F26" s="2"/>
      <c r="G26" s="2"/>
      <c r="H26" s="2"/>
      <c r="I26" s="2"/>
      <c r="J26" s="2"/>
      <c r="K26" s="2"/>
      <c r="L26" s="2"/>
      <c r="M26" s="2"/>
      <c r="N26" s="2"/>
      <c r="O26" s="2"/>
    </row>
    <row r="27" ht="102" customHeight="1" spans="1:15">
      <c r="A27" s="2"/>
      <c r="B27" s="2"/>
      <c r="C27" s="6" t="s">
        <v>546</v>
      </c>
      <c r="D27" s="7" t="s">
        <v>547</v>
      </c>
      <c r="E27" s="2"/>
      <c r="F27" s="2"/>
      <c r="G27" s="2"/>
      <c r="H27" s="2"/>
      <c r="I27" s="2"/>
      <c r="J27" s="2"/>
      <c r="K27" s="2"/>
      <c r="L27" s="2"/>
      <c r="M27" s="2"/>
      <c r="N27" s="2"/>
      <c r="O27" s="2"/>
    </row>
    <row r="28" ht="102" customHeight="1" spans="1:15">
      <c r="A28" s="2"/>
      <c r="B28" s="2"/>
      <c r="C28" s="6" t="s">
        <v>548</v>
      </c>
      <c r="D28" s="7" t="s">
        <v>549</v>
      </c>
      <c r="E28" s="2"/>
      <c r="F28" s="2"/>
      <c r="G28" s="2"/>
      <c r="H28" s="2"/>
      <c r="I28" s="2"/>
      <c r="J28" s="2"/>
      <c r="K28" s="2"/>
      <c r="L28" s="2"/>
      <c r="M28" s="2"/>
      <c r="N28" s="2"/>
      <c r="O28" s="2"/>
    </row>
    <row r="29" ht="130.5" customHeight="1" spans="1:15">
      <c r="A29" s="2"/>
      <c r="B29" s="2"/>
      <c r="C29" s="6" t="s">
        <v>550</v>
      </c>
      <c r="D29" s="7" t="s">
        <v>551</v>
      </c>
      <c r="E29" s="2"/>
      <c r="F29" s="2"/>
      <c r="G29" s="2"/>
      <c r="H29" s="2"/>
      <c r="I29" s="2"/>
      <c r="J29" s="2"/>
      <c r="K29" s="2"/>
      <c r="L29" s="2"/>
      <c r="M29" s="2"/>
      <c r="N29" s="2"/>
      <c r="O29" s="2"/>
    </row>
    <row r="30" ht="15" customHeight="1" spans="1:15">
      <c r="A30" s="2"/>
      <c r="B30" s="2"/>
      <c r="C30" s="2"/>
      <c r="D30" s="2"/>
      <c r="E30" s="2"/>
      <c r="F30" s="2"/>
      <c r="G30" s="2"/>
      <c r="H30" s="2"/>
      <c r="I30" s="2"/>
      <c r="J30" s="2"/>
      <c r="K30" s="2"/>
      <c r="L30" s="2"/>
      <c r="M30" s="2"/>
      <c r="N30" s="2"/>
      <c r="O30" s="2"/>
    </row>
    <row r="31" ht="30" customHeight="1" spans="1:15">
      <c r="A31" s="2"/>
      <c r="B31" s="2"/>
      <c r="C31" s="12" t="s">
        <v>552</v>
      </c>
      <c r="D31" s="12"/>
      <c r="E31" s="2"/>
      <c r="F31" s="2"/>
      <c r="G31" s="2"/>
      <c r="H31" s="2"/>
      <c r="I31" s="2"/>
      <c r="J31" s="2"/>
      <c r="K31" s="2"/>
      <c r="L31" s="2"/>
      <c r="M31" s="2"/>
      <c r="N31" s="2"/>
      <c r="O31" s="2"/>
    </row>
    <row r="32" ht="15" customHeight="1" spans="1:15">
      <c r="A32" s="2"/>
      <c r="B32" s="2"/>
      <c r="C32" s="2"/>
      <c r="D32" s="2"/>
      <c r="E32" s="2"/>
      <c r="F32" s="2"/>
      <c r="G32" s="2"/>
      <c r="H32" s="2"/>
      <c r="I32" s="2"/>
      <c r="J32" s="2"/>
      <c r="K32" s="2"/>
      <c r="L32" s="2"/>
      <c r="M32" s="2"/>
      <c r="N32" s="2"/>
      <c r="O32" s="2"/>
    </row>
    <row r="33" ht="15" customHeight="1" spans="1:15">
      <c r="A33" s="2"/>
      <c r="B33" s="2"/>
      <c r="C33" s="2"/>
      <c r="D33" s="2"/>
      <c r="E33" s="2"/>
      <c r="F33" s="2"/>
      <c r="G33" s="2"/>
      <c r="H33" s="2"/>
      <c r="I33" s="2"/>
      <c r="J33" s="2"/>
      <c r="K33" s="2"/>
      <c r="L33" s="2"/>
      <c r="M33" s="2"/>
      <c r="N33" s="2"/>
      <c r="O33" s="2"/>
    </row>
    <row r="34" ht="15" customHeight="1" spans="1:15">
      <c r="A34" s="2"/>
      <c r="B34" s="2"/>
      <c r="C34" s="2"/>
      <c r="D34" s="2"/>
      <c r="E34" s="2"/>
      <c r="F34" s="2"/>
      <c r="G34" s="2"/>
      <c r="H34" s="2"/>
      <c r="I34" s="2"/>
      <c r="J34" s="2"/>
      <c r="K34" s="2"/>
      <c r="L34" s="2"/>
      <c r="M34" s="2"/>
      <c r="N34" s="2"/>
      <c r="O34" s="2"/>
    </row>
    <row r="35" ht="15" customHeight="1" spans="1:15">
      <c r="A35" s="2"/>
      <c r="B35" s="2"/>
      <c r="C35" s="2"/>
      <c r="D35" s="2"/>
      <c r="E35" s="2"/>
      <c r="F35" s="2"/>
      <c r="G35" s="2"/>
      <c r="H35" s="2"/>
      <c r="I35" s="2"/>
      <c r="J35" s="2"/>
      <c r="K35" s="2"/>
      <c r="L35" s="2"/>
      <c r="M35" s="2"/>
      <c r="N35" s="2"/>
      <c r="O35" s="2"/>
    </row>
    <row r="36" ht="15" customHeight="1" spans="1:15">
      <c r="A36" s="2"/>
      <c r="B36" s="2"/>
      <c r="C36" s="2"/>
      <c r="D36" s="2"/>
      <c r="E36" s="2"/>
      <c r="F36" s="2"/>
      <c r="G36" s="2"/>
      <c r="H36" s="2"/>
      <c r="I36" s="2"/>
      <c r="J36" s="2"/>
      <c r="K36" s="2"/>
      <c r="L36" s="2"/>
      <c r="M36" s="2"/>
      <c r="N36" s="2"/>
      <c r="O36" s="2"/>
    </row>
    <row r="37" ht="15" customHeight="1" spans="1:15">
      <c r="A37" s="2"/>
      <c r="B37" s="2"/>
      <c r="C37" s="2"/>
      <c r="D37" s="2"/>
      <c r="E37" s="2"/>
      <c r="F37" s="2"/>
      <c r="G37" s="2"/>
      <c r="H37" s="2"/>
      <c r="I37" s="2"/>
      <c r="J37" s="2"/>
      <c r="K37" s="2"/>
      <c r="L37" s="2"/>
      <c r="M37" s="2"/>
      <c r="N37" s="2"/>
      <c r="O37" s="2"/>
    </row>
    <row r="38" ht="15" customHeight="1" spans="1:15">
      <c r="A38" s="2"/>
      <c r="B38" s="2"/>
      <c r="C38" s="2"/>
      <c r="D38" s="2"/>
      <c r="E38" s="2"/>
      <c r="F38" s="2"/>
      <c r="G38" s="2"/>
      <c r="H38" s="2"/>
      <c r="I38" s="2"/>
      <c r="J38" s="2"/>
      <c r="K38" s="2"/>
      <c r="L38" s="2"/>
      <c r="M38" s="2"/>
      <c r="N38" s="2"/>
      <c r="O38" s="2"/>
    </row>
    <row r="39" ht="15" customHeight="1" spans="1:15">
      <c r="A39" s="2"/>
      <c r="B39" s="2"/>
      <c r="C39" s="2"/>
      <c r="D39" s="2"/>
      <c r="E39" s="2"/>
      <c r="F39" s="2"/>
      <c r="G39" s="2"/>
      <c r="H39" s="2"/>
      <c r="I39" s="2"/>
      <c r="J39" s="2"/>
      <c r="K39" s="2"/>
      <c r="L39" s="2"/>
      <c r="M39" s="2"/>
      <c r="N39" s="2"/>
      <c r="O39" s="2"/>
    </row>
    <row r="40" ht="15" customHeight="1" spans="1:15">
      <c r="A40" s="2"/>
      <c r="B40" s="2"/>
      <c r="C40" s="2"/>
      <c r="D40" s="2"/>
      <c r="E40" s="2"/>
      <c r="F40" s="2"/>
      <c r="G40" s="2"/>
      <c r="H40" s="2"/>
      <c r="I40" s="2"/>
      <c r="J40" s="2"/>
      <c r="K40" s="2"/>
      <c r="L40" s="2"/>
      <c r="M40" s="2"/>
      <c r="N40" s="2"/>
      <c r="O40" s="2"/>
    </row>
    <row r="41" ht="15" customHeight="1" spans="1:15">
      <c r="A41" s="2"/>
      <c r="B41" s="2"/>
      <c r="C41" s="2"/>
      <c r="D41" s="2"/>
      <c r="E41" s="2"/>
      <c r="F41" s="2"/>
      <c r="G41" s="2"/>
      <c r="H41" s="2"/>
      <c r="I41" s="2"/>
      <c r="J41" s="2"/>
      <c r="K41" s="2"/>
      <c r="L41" s="2"/>
      <c r="M41" s="2"/>
      <c r="N41" s="2"/>
      <c r="O41" s="2"/>
    </row>
    <row r="42" ht="15" customHeight="1" spans="1:15">
      <c r="A42" s="2"/>
      <c r="B42" s="2"/>
      <c r="C42" s="2"/>
      <c r="D42" s="2"/>
      <c r="E42" s="2"/>
      <c r="F42" s="2"/>
      <c r="G42" s="2"/>
      <c r="H42" s="2"/>
      <c r="I42" s="2"/>
      <c r="J42" s="2"/>
      <c r="K42" s="2"/>
      <c r="L42" s="2"/>
      <c r="M42" s="2"/>
      <c r="N42" s="2"/>
      <c r="O42" s="2"/>
    </row>
    <row r="43" ht="15" customHeight="1" spans="1:15">
      <c r="A43" s="2"/>
      <c r="B43" s="2"/>
      <c r="C43" s="2"/>
      <c r="D43" s="2"/>
      <c r="E43" s="2"/>
      <c r="F43" s="2"/>
      <c r="G43" s="2"/>
      <c r="H43" s="2"/>
      <c r="I43" s="2"/>
      <c r="J43" s="2"/>
      <c r="K43" s="2"/>
      <c r="L43" s="2"/>
      <c r="M43" s="2"/>
      <c r="N43" s="2"/>
      <c r="O43" s="2"/>
    </row>
    <row r="44" ht="15" customHeight="1" spans="1:15">
      <c r="A44" s="2"/>
      <c r="B44" s="2"/>
      <c r="C44" s="2"/>
      <c r="D44" s="2"/>
      <c r="E44" s="2"/>
      <c r="F44" s="2"/>
      <c r="G44" s="2"/>
      <c r="H44" s="2"/>
      <c r="I44" s="2"/>
      <c r="J44" s="2"/>
      <c r="K44" s="2"/>
      <c r="L44" s="2"/>
      <c r="M44" s="2"/>
      <c r="N44" s="2"/>
      <c r="O44" s="2"/>
    </row>
    <row r="45" ht="15" customHeight="1" spans="1:15">
      <c r="A45" s="2"/>
      <c r="B45" s="2"/>
      <c r="C45" s="2"/>
      <c r="D45" s="2"/>
      <c r="E45" s="2"/>
      <c r="F45" s="2"/>
      <c r="G45" s="2"/>
      <c r="H45" s="2"/>
      <c r="I45" s="2"/>
      <c r="J45" s="2"/>
      <c r="K45" s="2"/>
      <c r="L45" s="2"/>
      <c r="M45" s="2"/>
      <c r="N45" s="2"/>
      <c r="O45" s="2"/>
    </row>
    <row r="46" ht="15" customHeight="1" spans="1:15">
      <c r="A46" s="2"/>
      <c r="B46" s="2"/>
      <c r="C46" s="2"/>
      <c r="D46" s="2"/>
      <c r="E46" s="2"/>
      <c r="F46" s="2"/>
      <c r="G46" s="2"/>
      <c r="H46" s="2"/>
      <c r="I46" s="2"/>
      <c r="J46" s="2"/>
      <c r="K46" s="2"/>
      <c r="L46" s="2"/>
      <c r="M46" s="2"/>
      <c r="N46" s="2"/>
      <c r="O46" s="2"/>
    </row>
    <row r="47" ht="15" customHeight="1" spans="1:15">
      <c r="A47" s="2"/>
      <c r="B47" s="2"/>
      <c r="C47" s="2"/>
      <c r="D47" s="2"/>
      <c r="E47" s="2"/>
      <c r="F47" s="2"/>
      <c r="G47" s="2"/>
      <c r="H47" s="2"/>
      <c r="I47" s="2"/>
      <c r="J47" s="2"/>
      <c r="K47" s="2"/>
      <c r="L47" s="2"/>
      <c r="M47" s="2"/>
      <c r="N47" s="2"/>
      <c r="O47" s="2"/>
    </row>
    <row r="48" ht="15" customHeight="1" spans="1:15">
      <c r="A48" s="2"/>
      <c r="B48" s="2"/>
      <c r="C48" s="2"/>
      <c r="D48" s="2"/>
      <c r="E48" s="2"/>
      <c r="F48" s="2"/>
      <c r="G48" s="2"/>
      <c r="H48" s="2"/>
      <c r="I48" s="2"/>
      <c r="J48" s="2"/>
      <c r="K48" s="2"/>
      <c r="L48" s="2"/>
      <c r="M48" s="2"/>
      <c r="N48" s="2"/>
      <c r="O48" s="2"/>
    </row>
    <row r="49" ht="15" customHeight="1" spans="1:15">
      <c r="A49" s="2"/>
      <c r="B49" s="2"/>
      <c r="C49" s="2"/>
      <c r="D49" s="2"/>
      <c r="E49" s="2"/>
      <c r="F49" s="2"/>
      <c r="G49" s="2"/>
      <c r="H49" s="2"/>
      <c r="I49" s="2"/>
      <c r="J49" s="2"/>
      <c r="K49" s="2"/>
      <c r="L49" s="2"/>
      <c r="M49" s="2"/>
      <c r="N49" s="2"/>
      <c r="O49" s="2"/>
    </row>
    <row r="50" ht="15" customHeight="1" spans="1:15">
      <c r="A50" s="2"/>
      <c r="B50" s="2"/>
      <c r="C50" s="2"/>
      <c r="D50" s="2"/>
      <c r="E50" s="2"/>
      <c r="F50" s="2"/>
      <c r="G50" s="2"/>
      <c r="H50" s="2"/>
      <c r="I50" s="2"/>
      <c r="J50" s="2"/>
      <c r="K50" s="2"/>
      <c r="L50" s="2"/>
      <c r="M50" s="2"/>
      <c r="N50" s="2"/>
      <c r="O50" s="2"/>
    </row>
    <row r="51" ht="15" customHeight="1" spans="1:15">
      <c r="A51" s="2"/>
      <c r="B51" s="2"/>
      <c r="C51" s="2"/>
      <c r="D51" s="2"/>
      <c r="E51" s="2"/>
      <c r="F51" s="2"/>
      <c r="G51" s="2"/>
      <c r="H51" s="2"/>
      <c r="I51" s="2"/>
      <c r="J51" s="2"/>
      <c r="K51" s="2"/>
      <c r="L51" s="2"/>
      <c r="M51" s="2"/>
      <c r="N51" s="2"/>
      <c r="O51" s="2"/>
    </row>
    <row r="52" ht="15" customHeight="1" spans="1:15">
      <c r="A52" s="2"/>
      <c r="B52" s="2"/>
      <c r="C52" s="2"/>
      <c r="D52" s="2"/>
      <c r="E52" s="2"/>
      <c r="F52" s="2"/>
      <c r="G52" s="2"/>
      <c r="H52" s="2"/>
      <c r="I52" s="2"/>
      <c r="J52" s="2"/>
      <c r="K52" s="2"/>
      <c r="L52" s="2"/>
      <c r="M52" s="2"/>
      <c r="N52" s="2"/>
      <c r="O52" s="2"/>
    </row>
    <row r="53" ht="15" customHeight="1" spans="1:15">
      <c r="A53" s="2"/>
      <c r="B53" s="2"/>
      <c r="C53" s="2"/>
      <c r="D53" s="2"/>
      <c r="E53" s="2"/>
      <c r="F53" s="2"/>
      <c r="G53" s="2"/>
      <c r="H53" s="2"/>
      <c r="I53" s="2"/>
      <c r="J53" s="2"/>
      <c r="K53" s="2"/>
      <c r="L53" s="2"/>
      <c r="M53" s="2"/>
      <c r="N53" s="2"/>
      <c r="O53" s="2"/>
    </row>
    <row r="54" ht="15" customHeight="1" spans="1:15">
      <c r="A54" s="2"/>
      <c r="B54" s="2"/>
      <c r="C54" s="2"/>
      <c r="D54" s="2"/>
      <c r="E54" s="2"/>
      <c r="F54" s="2"/>
      <c r="G54" s="2"/>
      <c r="H54" s="2"/>
      <c r="I54" s="2"/>
      <c r="J54" s="2"/>
      <c r="K54" s="2"/>
      <c r="L54" s="2"/>
      <c r="M54" s="2"/>
      <c r="N54" s="2"/>
      <c r="O54" s="2"/>
    </row>
    <row r="55" ht="15" customHeight="1" spans="1:15">
      <c r="A55" s="2"/>
      <c r="B55" s="2"/>
      <c r="C55" s="2"/>
      <c r="D55" s="2"/>
      <c r="E55" s="2"/>
      <c r="F55" s="2"/>
      <c r="G55" s="2"/>
      <c r="H55" s="2"/>
      <c r="I55" s="2"/>
      <c r="J55" s="2"/>
      <c r="K55" s="2"/>
      <c r="L55" s="2"/>
      <c r="M55" s="2"/>
      <c r="N55" s="2"/>
      <c r="O55" s="2"/>
    </row>
    <row r="56" ht="15" customHeight="1" spans="1:15">
      <c r="A56" s="2"/>
      <c r="B56" s="2"/>
      <c r="C56" s="2"/>
      <c r="D56" s="2"/>
      <c r="E56" s="2"/>
      <c r="F56" s="2"/>
      <c r="G56" s="2"/>
      <c r="H56" s="2"/>
      <c r="I56" s="2"/>
      <c r="J56" s="2"/>
      <c r="K56" s="2"/>
      <c r="L56" s="2"/>
      <c r="M56" s="2"/>
      <c r="N56" s="2"/>
      <c r="O56" s="2"/>
    </row>
    <row r="57" ht="15" customHeight="1" spans="1:15">
      <c r="A57" s="2"/>
      <c r="B57" s="2"/>
      <c r="C57" s="2"/>
      <c r="D57" s="2"/>
      <c r="E57" s="2"/>
      <c r="F57" s="2"/>
      <c r="G57" s="2"/>
      <c r="H57" s="2"/>
      <c r="I57" s="2"/>
      <c r="J57" s="2"/>
      <c r="K57" s="2"/>
      <c r="L57" s="2"/>
      <c r="M57" s="2"/>
      <c r="N57" s="2"/>
      <c r="O57" s="2"/>
    </row>
    <row r="58" ht="15" customHeight="1" spans="1:15">
      <c r="A58" s="2"/>
      <c r="B58" s="2"/>
      <c r="C58" s="2"/>
      <c r="D58" s="2"/>
      <c r="E58" s="2"/>
      <c r="F58" s="2"/>
      <c r="G58" s="2"/>
      <c r="H58" s="2"/>
      <c r="I58" s="2"/>
      <c r="J58" s="2"/>
      <c r="K58" s="2"/>
      <c r="L58" s="2"/>
      <c r="M58" s="2"/>
      <c r="N58" s="2"/>
      <c r="O58" s="2"/>
    </row>
    <row r="59" ht="15" customHeight="1" spans="1:15">
      <c r="A59" s="2"/>
      <c r="B59" s="2"/>
      <c r="C59" s="2"/>
      <c r="D59" s="2"/>
      <c r="E59" s="2"/>
      <c r="F59" s="2"/>
      <c r="G59" s="2"/>
      <c r="H59" s="2"/>
      <c r="I59" s="2"/>
      <c r="J59" s="2"/>
      <c r="K59" s="2"/>
      <c r="L59" s="2"/>
      <c r="M59" s="2"/>
      <c r="N59" s="2"/>
      <c r="O59" s="2"/>
    </row>
    <row r="60" ht="15" customHeight="1" spans="1:15">
      <c r="A60" s="2"/>
      <c r="B60" s="2"/>
      <c r="C60" s="2"/>
      <c r="D60" s="2"/>
      <c r="E60" s="2"/>
      <c r="F60" s="2"/>
      <c r="G60" s="2"/>
      <c r="H60" s="2"/>
      <c r="I60" s="2"/>
      <c r="J60" s="2"/>
      <c r="K60" s="2"/>
      <c r="L60" s="2"/>
      <c r="M60" s="2"/>
      <c r="N60" s="2"/>
      <c r="O60" s="2"/>
    </row>
    <row r="61" ht="15" customHeight="1" spans="1:15">
      <c r="A61" s="2"/>
      <c r="B61" s="2"/>
      <c r="C61" s="2"/>
      <c r="D61" s="2"/>
      <c r="E61" s="2"/>
      <c r="F61" s="2"/>
      <c r="G61" s="2"/>
      <c r="H61" s="2"/>
      <c r="I61" s="2"/>
      <c r="J61" s="2"/>
      <c r="K61" s="2"/>
      <c r="L61" s="2"/>
      <c r="M61" s="2"/>
      <c r="N61" s="2"/>
      <c r="O61" s="2"/>
    </row>
    <row r="62" ht="15" customHeight="1" spans="1:15">
      <c r="A62" s="2"/>
      <c r="B62" s="2"/>
      <c r="C62" s="2"/>
      <c r="D62" s="2"/>
      <c r="E62" s="2"/>
      <c r="F62" s="2"/>
      <c r="G62" s="2"/>
      <c r="H62" s="2"/>
      <c r="I62" s="2"/>
      <c r="J62" s="2"/>
      <c r="K62" s="2"/>
      <c r="L62" s="2"/>
      <c r="M62" s="2"/>
      <c r="N62" s="2"/>
      <c r="O62" s="2"/>
    </row>
    <row r="63" ht="15" customHeight="1" spans="1:15">
      <c r="A63" s="2"/>
      <c r="B63" s="2"/>
      <c r="C63" s="2"/>
      <c r="D63" s="2"/>
      <c r="E63" s="2"/>
      <c r="F63" s="2"/>
      <c r="G63" s="2"/>
      <c r="H63" s="2"/>
      <c r="I63" s="2"/>
      <c r="J63" s="2"/>
      <c r="K63" s="2"/>
      <c r="L63" s="2"/>
      <c r="M63" s="2"/>
      <c r="N63" s="2"/>
      <c r="O63" s="2"/>
    </row>
    <row r="64" ht="15" customHeight="1" spans="1:15">
      <c r="A64" s="2"/>
      <c r="B64" s="2"/>
      <c r="C64" s="2"/>
      <c r="D64" s="2"/>
      <c r="E64" s="2"/>
      <c r="F64" s="2"/>
      <c r="G64" s="2"/>
      <c r="H64" s="2"/>
      <c r="I64" s="2"/>
      <c r="J64" s="2"/>
      <c r="K64" s="2"/>
      <c r="L64" s="2"/>
      <c r="M64" s="2"/>
      <c r="N64" s="2"/>
      <c r="O64" s="2"/>
    </row>
    <row r="65" ht="15" customHeight="1" spans="1:15">
      <c r="A65" s="2"/>
      <c r="B65" s="2"/>
      <c r="C65" s="2"/>
      <c r="D65" s="2"/>
      <c r="E65" s="2"/>
      <c r="F65" s="2"/>
      <c r="G65" s="2"/>
      <c r="H65" s="2"/>
      <c r="I65" s="2"/>
      <c r="J65" s="2"/>
      <c r="K65" s="2"/>
      <c r="L65" s="2"/>
      <c r="M65" s="2"/>
      <c r="N65" s="2"/>
      <c r="O65" s="2"/>
    </row>
    <row r="66" ht="15" customHeight="1" spans="1:15">
      <c r="A66" s="2"/>
      <c r="B66" s="2"/>
      <c r="C66" s="2"/>
      <c r="D66" s="2"/>
      <c r="E66" s="2"/>
      <c r="F66" s="2"/>
      <c r="G66" s="2"/>
      <c r="H66" s="2"/>
      <c r="I66" s="2"/>
      <c r="J66" s="2"/>
      <c r="K66" s="2"/>
      <c r="L66" s="2"/>
      <c r="M66" s="2"/>
      <c r="N66" s="2"/>
      <c r="O66" s="2"/>
    </row>
    <row r="67" ht="15" customHeight="1" spans="1:15">
      <c r="A67" s="2"/>
      <c r="B67" s="2"/>
      <c r="C67" s="2"/>
      <c r="D67" s="2"/>
      <c r="E67" s="2"/>
      <c r="F67" s="2"/>
      <c r="G67" s="2"/>
      <c r="H67" s="2"/>
      <c r="I67" s="2"/>
      <c r="J67" s="2"/>
      <c r="K67" s="2"/>
      <c r="L67" s="2"/>
      <c r="M67" s="2"/>
      <c r="N67" s="2"/>
      <c r="O67" s="2"/>
    </row>
    <row r="68" ht="15" customHeight="1" spans="1:15">
      <c r="A68" s="2"/>
      <c r="B68" s="2"/>
      <c r="C68" s="2"/>
      <c r="D68" s="2"/>
      <c r="E68" s="2"/>
      <c r="F68" s="2"/>
      <c r="G68" s="2"/>
      <c r="H68" s="2"/>
      <c r="I68" s="2"/>
      <c r="J68" s="2"/>
      <c r="K68" s="2"/>
      <c r="L68" s="2"/>
      <c r="M68" s="2"/>
      <c r="N68" s="2"/>
      <c r="O68" s="2"/>
    </row>
    <row r="69" ht="15" customHeight="1" spans="1:15">
      <c r="A69" s="2"/>
      <c r="B69" s="2"/>
      <c r="C69" s="2"/>
      <c r="D69" s="2"/>
      <c r="E69" s="2"/>
      <c r="F69" s="2"/>
      <c r="G69" s="2"/>
      <c r="H69" s="2"/>
      <c r="I69" s="2"/>
      <c r="J69" s="2"/>
      <c r="K69" s="2"/>
      <c r="L69" s="2"/>
      <c r="M69" s="2"/>
      <c r="N69" s="2"/>
      <c r="O69" s="2"/>
    </row>
    <row r="70" ht="15" customHeight="1" spans="1:15">
      <c r="A70" s="2"/>
      <c r="B70" s="2"/>
      <c r="C70" s="2"/>
      <c r="D70" s="2"/>
      <c r="E70" s="2"/>
      <c r="F70" s="2"/>
      <c r="G70" s="2"/>
      <c r="H70" s="2"/>
      <c r="I70" s="2"/>
      <c r="J70" s="2"/>
      <c r="K70" s="2"/>
      <c r="L70" s="2"/>
      <c r="M70" s="2"/>
      <c r="N70" s="2"/>
      <c r="O70" s="2"/>
    </row>
    <row r="71" ht="15" customHeight="1" spans="1:15">
      <c r="A71" s="2"/>
      <c r="B71" s="2"/>
      <c r="C71" s="2"/>
      <c r="D71" s="2"/>
      <c r="E71" s="2"/>
      <c r="F71" s="2"/>
      <c r="G71" s="2"/>
      <c r="H71" s="2"/>
      <c r="I71" s="2"/>
      <c r="J71" s="2"/>
      <c r="K71" s="2"/>
      <c r="L71" s="2"/>
      <c r="M71" s="2"/>
      <c r="N71" s="2"/>
      <c r="O71" s="2"/>
    </row>
    <row r="72" ht="15" customHeight="1" spans="1:15">
      <c r="A72" s="2"/>
      <c r="B72" s="2"/>
      <c r="C72" s="2"/>
      <c r="D72" s="2"/>
      <c r="E72" s="2"/>
      <c r="F72" s="2"/>
      <c r="G72" s="2"/>
      <c r="H72" s="2"/>
      <c r="I72" s="2"/>
      <c r="J72" s="2"/>
      <c r="K72" s="2"/>
      <c r="L72" s="2"/>
      <c r="M72" s="2"/>
      <c r="N72" s="2"/>
      <c r="O72" s="2"/>
    </row>
    <row r="73" ht="15" customHeight="1" spans="1:15">
      <c r="A73" s="2"/>
      <c r="B73" s="2"/>
      <c r="C73" s="2"/>
      <c r="D73" s="2"/>
      <c r="E73" s="2"/>
      <c r="F73" s="2"/>
      <c r="G73" s="2"/>
      <c r="H73" s="2"/>
      <c r="I73" s="2"/>
      <c r="J73" s="2"/>
      <c r="K73" s="2"/>
      <c r="L73" s="2"/>
      <c r="M73" s="2"/>
      <c r="N73" s="2"/>
      <c r="O73" s="2"/>
    </row>
    <row r="74" ht="15" customHeight="1" spans="1:15">
      <c r="A74" s="2"/>
      <c r="B74" s="2"/>
      <c r="C74" s="2"/>
      <c r="D74" s="2"/>
      <c r="E74" s="2"/>
      <c r="F74" s="2"/>
      <c r="G74" s="2"/>
      <c r="H74" s="2"/>
      <c r="I74" s="2"/>
      <c r="J74" s="2"/>
      <c r="K74" s="2"/>
      <c r="L74" s="2"/>
      <c r="M74" s="2"/>
      <c r="N74" s="2"/>
      <c r="O74" s="2"/>
    </row>
    <row r="75" ht="15" customHeight="1" spans="1:15">
      <c r="A75" s="2"/>
      <c r="B75" s="2"/>
      <c r="C75" s="2"/>
      <c r="D75" s="2"/>
      <c r="E75" s="2"/>
      <c r="F75" s="2"/>
      <c r="G75" s="2"/>
      <c r="H75" s="2"/>
      <c r="I75" s="2"/>
      <c r="J75" s="2"/>
      <c r="K75" s="2"/>
      <c r="L75" s="2"/>
      <c r="M75" s="2"/>
      <c r="N75" s="2"/>
      <c r="O75" s="2"/>
    </row>
    <row r="76" ht="15" customHeight="1" spans="1:15">
      <c r="A76" s="2"/>
      <c r="B76" s="2"/>
      <c r="C76" s="2"/>
      <c r="D76" s="2"/>
      <c r="E76" s="2"/>
      <c r="F76" s="2"/>
      <c r="G76" s="2"/>
      <c r="H76" s="2"/>
      <c r="I76" s="2"/>
      <c r="J76" s="2"/>
      <c r="K76" s="2"/>
      <c r="L76" s="2"/>
      <c r="M76" s="2"/>
      <c r="N76" s="2"/>
      <c r="O76" s="2"/>
    </row>
    <row r="77" ht="15" customHeight="1" spans="1:15">
      <c r="A77" s="2"/>
      <c r="B77" s="2"/>
      <c r="C77" s="2"/>
      <c r="D77" s="2"/>
      <c r="E77" s="2"/>
      <c r="F77" s="2"/>
      <c r="G77" s="2"/>
      <c r="H77" s="2"/>
      <c r="I77" s="2"/>
      <c r="J77" s="2"/>
      <c r="K77" s="2"/>
      <c r="L77" s="2"/>
      <c r="M77" s="2"/>
      <c r="N77" s="2"/>
      <c r="O77" s="2"/>
    </row>
    <row r="78" ht="15" customHeight="1" spans="1:15">
      <c r="A78" s="2"/>
      <c r="B78" s="2"/>
      <c r="C78" s="2"/>
      <c r="D78" s="2"/>
      <c r="E78" s="2"/>
      <c r="F78" s="2"/>
      <c r="G78" s="2"/>
      <c r="H78" s="2"/>
      <c r="I78" s="2"/>
      <c r="J78" s="2"/>
      <c r="K78" s="2"/>
      <c r="L78" s="2"/>
      <c r="M78" s="2"/>
      <c r="N78" s="2"/>
      <c r="O78" s="2"/>
    </row>
    <row r="79" ht="15" customHeight="1" spans="1:15">
      <c r="A79" s="2"/>
      <c r="B79" s="2"/>
      <c r="C79" s="2"/>
      <c r="D79" s="2"/>
      <c r="E79" s="2"/>
      <c r="F79" s="2"/>
      <c r="G79" s="2"/>
      <c r="H79" s="2"/>
      <c r="I79" s="2"/>
      <c r="J79" s="2"/>
      <c r="K79" s="2"/>
      <c r="L79" s="2"/>
      <c r="M79" s="2"/>
      <c r="N79" s="2"/>
      <c r="O79" s="2"/>
    </row>
  </sheetData>
  <mergeCells count="6">
    <mergeCell ref="C1:D1"/>
    <mergeCell ref="C2:D2"/>
    <mergeCell ref="C15:D15"/>
    <mergeCell ref="C19:D19"/>
    <mergeCell ref="C25:D25"/>
    <mergeCell ref="C31:D31"/>
  </mergeCells>
  <pageMargins left="0.75" right="0.75" top="1" bottom="1" header="0.511811023622047" footer="0.511811023622047"/>
  <pageSetup paperSize="9" orientation="portrait" horizontalDpi="300" verticalDpi="300"/>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10</vt:i4>
      </vt:variant>
    </vt:vector>
  </HeadingPairs>
  <TitlesOfParts>
    <vt:vector size="10" baseType="lpstr">
      <vt:lpstr>Cover</vt:lpstr>
      <vt:lpstr>Assumptions</vt:lpstr>
      <vt:lpstr>Income Statement</vt:lpstr>
      <vt:lpstr>Balance Sheet</vt:lpstr>
      <vt:lpstr>Cash Flow Statement</vt:lpstr>
      <vt:lpstr>Financial Ratios</vt:lpstr>
      <vt:lpstr>DCF Valuation</vt:lpstr>
      <vt:lpstr>Scenario Analysis</vt:lpstr>
      <vt:lpstr>Dashboard</vt:lpstr>
      <vt:lpstr>Insights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SIYA RATHI</cp:lastModifiedBy>
  <cp:revision>2</cp:revision>
  <dcterms:created xsi:type="dcterms:W3CDTF">2026-03-29T09:24:00Z</dcterms:created>
  <dcterms:modified xsi:type="dcterms:W3CDTF">2026-03-29T09:43:36Z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21874748D5374A9C90982A2F3B07C3DA_12</vt:lpwstr>
  </property>
  <property fmtid="{D5CDD505-2E9C-101B-9397-08002B2CF9AE}" pid="3" name="KSOProductBuildVer">
    <vt:lpwstr>1033-12.1.0.25242</vt:lpwstr>
  </property>
  <property fmtid="{D5CDD505-2E9C-101B-9397-08002B2CF9AE}" pid="4" name="CalculationRule">
    <vt:i4>0</vt:i4>
  </property>
</Properties>
</file>